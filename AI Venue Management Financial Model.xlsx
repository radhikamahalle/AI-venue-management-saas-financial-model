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hananjay.raut\Downloads\"/>
    </mc:Choice>
  </mc:AlternateContent>
  <bookViews>
    <workbookView xWindow="0" yWindow="0" windowWidth="23040" windowHeight="10512" tabRatio="500" activeTab="8"/>
  </bookViews>
  <sheets>
    <sheet name="Introduction" sheetId="1" r:id="rId1"/>
    <sheet name="Assumptions" sheetId="2" r:id="rId2"/>
    <sheet name="Revenue Buildup" sheetId="3" r:id="rId3"/>
    <sheet name="Cost Buildup" sheetId="4" r:id="rId4"/>
    <sheet name="FAS" sheetId="5" state="hidden" r:id="rId5"/>
    <sheet name="IS" sheetId="6" r:id="rId6"/>
    <sheet name="BS" sheetId="7" r:id="rId7"/>
    <sheet name="CFS" sheetId="8" r:id="rId8"/>
    <sheet name="Valuation" sheetId="9" r:id="rId9"/>
    <sheet name="Sheet10" sheetId="10" state="hidden" r:id="rId10"/>
    <sheet name="Sheet1" sheetId="11" state="hidden" r:id="rId11"/>
  </sheets>
  <calcPr calcId="162913"/>
  <fileRecoveryPr repairLoad="1"/>
</workbook>
</file>

<file path=xl/calcChain.xml><?xml version="1.0" encoding="utf-8"?>
<calcChain xmlns="http://schemas.openxmlformats.org/spreadsheetml/2006/main">
  <c r="F41" i="9" l="1"/>
  <c r="D48" i="9"/>
  <c r="D47" i="9"/>
  <c r="D46" i="9"/>
  <c r="D45" i="9"/>
  <c r="D44" i="9"/>
  <c r="I42" i="9"/>
  <c r="H42" i="9"/>
  <c r="G42" i="9"/>
  <c r="F42" i="9"/>
  <c r="E42" i="9"/>
  <c r="D42" i="9"/>
  <c r="I41" i="9"/>
  <c r="H41" i="9"/>
  <c r="G41" i="9"/>
  <c r="E41" i="9"/>
  <c r="D41" i="9"/>
  <c r="I40" i="9"/>
  <c r="H40" i="9"/>
  <c r="G40" i="9"/>
  <c r="F40" i="9"/>
  <c r="E40" i="9"/>
  <c r="D40" i="9"/>
  <c r="I39" i="9"/>
  <c r="H39" i="9"/>
  <c r="G39" i="9"/>
  <c r="F39" i="9"/>
  <c r="E39" i="9"/>
  <c r="D39" i="9"/>
  <c r="I38" i="9"/>
  <c r="H38" i="9"/>
  <c r="G38" i="9"/>
  <c r="F38" i="9"/>
  <c r="E38" i="9"/>
  <c r="D38" i="9"/>
  <c r="D21" i="9"/>
  <c r="D31" i="9" s="1"/>
  <c r="B2" i="9"/>
  <c r="BV42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BT21" i="8"/>
  <c r="BT15" i="8" s="1"/>
  <c r="BS21" i="8"/>
  <c r="BR21" i="8"/>
  <c r="BR15" i="8" s="1"/>
  <c r="BQ21" i="8"/>
  <c r="BP21" i="8"/>
  <c r="BO21" i="8"/>
  <c r="BN21" i="8"/>
  <c r="BM21" i="8"/>
  <c r="BM15" i="8" s="1"/>
  <c r="BL21" i="8"/>
  <c r="BL15" i="8" s="1"/>
  <c r="BK21" i="8"/>
  <c r="BJ21" i="8"/>
  <c r="BJ15" i="8" s="1"/>
  <c r="BI21" i="8"/>
  <c r="BH21" i="8"/>
  <c r="BG21" i="8"/>
  <c r="BF21" i="8"/>
  <c r="BF15" i="8" s="1"/>
  <c r="BE21" i="8"/>
  <c r="BD21" i="8"/>
  <c r="BD15" i="8" s="1"/>
  <c r="BC21" i="8"/>
  <c r="BB21" i="8"/>
  <c r="BA21" i="8"/>
  <c r="AZ21" i="8"/>
  <c r="AY21" i="8"/>
  <c r="AX21" i="8"/>
  <c r="AX15" i="8" s="1"/>
  <c r="AW21" i="8"/>
  <c r="AV21" i="8"/>
  <c r="AV15" i="8" s="1"/>
  <c r="AU21" i="8"/>
  <c r="AT21" i="8"/>
  <c r="AS21" i="8"/>
  <c r="AR21" i="8"/>
  <c r="AR15" i="8" s="1"/>
  <c r="AQ21" i="8"/>
  <c r="AP21" i="8"/>
  <c r="AP15" i="8" s="1"/>
  <c r="AO21" i="8"/>
  <c r="AN21" i="8"/>
  <c r="AM21" i="8"/>
  <c r="AL21" i="8"/>
  <c r="AK21" i="8"/>
  <c r="AK15" i="8" s="1"/>
  <c r="AJ21" i="8"/>
  <c r="AJ15" i="8" s="1"/>
  <c r="AI21" i="8"/>
  <c r="AH21" i="8"/>
  <c r="AH15" i="8" s="1"/>
  <c r="AG21" i="8"/>
  <c r="AF21" i="8"/>
  <c r="AE21" i="8"/>
  <c r="AD21" i="8"/>
  <c r="AD15" i="8" s="1"/>
  <c r="AC21" i="8"/>
  <c r="AB21" i="8"/>
  <c r="AB15" i="8" s="1"/>
  <c r="AA21" i="8"/>
  <c r="Z21" i="8"/>
  <c r="Y21" i="8"/>
  <c r="X21" i="8"/>
  <c r="W21" i="8"/>
  <c r="W15" i="8" s="1"/>
  <c r="V21" i="8"/>
  <c r="V15" i="8" s="1"/>
  <c r="U21" i="8"/>
  <c r="T21" i="8"/>
  <c r="T15" i="8" s="1"/>
  <c r="S21" i="8"/>
  <c r="R21" i="8"/>
  <c r="Q21" i="8"/>
  <c r="P21" i="8"/>
  <c r="P15" i="8" s="1"/>
  <c r="O21" i="8"/>
  <c r="N21" i="8"/>
  <c r="N15" i="8" s="1"/>
  <c r="M21" i="8"/>
  <c r="BS15" i="8"/>
  <c r="BQ15" i="8"/>
  <c r="BP15" i="8"/>
  <c r="BO15" i="8"/>
  <c r="BN15" i="8"/>
  <c r="BK15" i="8"/>
  <c r="BI15" i="8"/>
  <c r="BH15" i="8"/>
  <c r="BG15" i="8"/>
  <c r="BE15" i="8"/>
  <c r="BC15" i="8"/>
  <c r="BB15" i="8"/>
  <c r="BA15" i="8"/>
  <c r="AZ15" i="8"/>
  <c r="AY15" i="8"/>
  <c r="AW15" i="8"/>
  <c r="AU15" i="8"/>
  <c r="AT15" i="8"/>
  <c r="AS15" i="8"/>
  <c r="AQ15" i="8"/>
  <c r="AO15" i="8"/>
  <c r="AN15" i="8"/>
  <c r="AM15" i="8"/>
  <c r="AL15" i="8"/>
  <c r="AI15" i="8"/>
  <c r="AG15" i="8"/>
  <c r="AF15" i="8"/>
  <c r="AE15" i="8"/>
  <c r="AC15" i="8"/>
  <c r="AA15" i="8"/>
  <c r="Z15" i="8"/>
  <c r="Y15" i="8"/>
  <c r="X15" i="8"/>
  <c r="U15" i="8"/>
  <c r="S15" i="8"/>
  <c r="R15" i="8"/>
  <c r="Q15" i="8"/>
  <c r="O15" i="8"/>
  <c r="M15" i="8"/>
  <c r="U4" i="8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AK4" i="8" s="1"/>
  <c r="AL4" i="8" s="1"/>
  <c r="AM4" i="8" s="1"/>
  <c r="AN4" i="8" s="1"/>
  <c r="AO4" i="8" s="1"/>
  <c r="AP4" i="8" s="1"/>
  <c r="AQ4" i="8" s="1"/>
  <c r="AR4" i="8" s="1"/>
  <c r="AS4" i="8" s="1"/>
  <c r="AT4" i="8" s="1"/>
  <c r="AU4" i="8" s="1"/>
  <c r="AV4" i="8" s="1"/>
  <c r="AW4" i="8" s="1"/>
  <c r="AX4" i="8" s="1"/>
  <c r="AY4" i="8" s="1"/>
  <c r="AZ4" i="8" s="1"/>
  <c r="BA4" i="8" s="1"/>
  <c r="BB4" i="8" s="1"/>
  <c r="BC4" i="8" s="1"/>
  <c r="BD4" i="8" s="1"/>
  <c r="BE4" i="8" s="1"/>
  <c r="BF4" i="8" s="1"/>
  <c r="BG4" i="8" s="1"/>
  <c r="BH4" i="8" s="1"/>
  <c r="BI4" i="8" s="1"/>
  <c r="BJ4" i="8" s="1"/>
  <c r="BK4" i="8" s="1"/>
  <c r="BL4" i="8" s="1"/>
  <c r="BM4" i="8" s="1"/>
  <c r="BN4" i="8" s="1"/>
  <c r="BO4" i="8" s="1"/>
  <c r="BP4" i="8" s="1"/>
  <c r="BQ4" i="8" s="1"/>
  <c r="BR4" i="8" s="1"/>
  <c r="BS4" i="8" s="1"/>
  <c r="BT4" i="8" s="1"/>
  <c r="P4" i="8"/>
  <c r="Q4" i="8" s="1"/>
  <c r="R4" i="8" s="1"/>
  <c r="S4" i="8" s="1"/>
  <c r="T4" i="8" s="1"/>
  <c r="N4" i="8"/>
  <c r="O4" i="8" s="1"/>
  <c r="Y3" i="8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O4" i="7"/>
  <c r="N4" i="7"/>
  <c r="AG3" i="7"/>
  <c r="AH3" i="7" s="1"/>
  <c r="AI3" i="7" s="1"/>
  <c r="AJ3" i="7" s="1"/>
  <c r="AC3" i="7"/>
  <c r="AD3" i="7" s="1"/>
  <c r="AE3" i="7" s="1"/>
  <c r="AF3" i="7" s="1"/>
  <c r="Z3" i="7"/>
  <c r="AA3" i="7" s="1"/>
  <c r="AB3" i="7" s="1"/>
  <c r="Y3" i="7"/>
  <c r="N4" i="6"/>
  <c r="Y3" i="6"/>
  <c r="AA4" i="5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BE4" i="5" s="1"/>
  <c r="BF4" i="5" s="1"/>
  <c r="BG4" i="5" s="1"/>
  <c r="BH4" i="5" s="1"/>
  <c r="BI4" i="5" s="1"/>
  <c r="BJ4" i="5" s="1"/>
  <c r="BK4" i="5" s="1"/>
  <c r="BL4" i="5" s="1"/>
  <c r="BM4" i="5" s="1"/>
  <c r="BN4" i="5" s="1"/>
  <c r="BO4" i="5" s="1"/>
  <c r="BP4" i="5" s="1"/>
  <c r="BQ4" i="5" s="1"/>
  <c r="BR4" i="5" s="1"/>
  <c r="BS4" i="5" s="1"/>
  <c r="BT4" i="5" s="1"/>
  <c r="T4" i="5"/>
  <c r="U4" i="5" s="1"/>
  <c r="V4" i="5" s="1"/>
  <c r="W4" i="5" s="1"/>
  <c r="X4" i="5" s="1"/>
  <c r="Y4" i="5" s="1"/>
  <c r="Z4" i="5" s="1"/>
  <c r="N4" i="5"/>
  <c r="O4" i="5" s="1"/>
  <c r="P4" i="5" s="1"/>
  <c r="Q4" i="5" s="1"/>
  <c r="R4" i="5" s="1"/>
  <c r="S4" i="5" s="1"/>
  <c r="AB3" i="5"/>
  <c r="AC3" i="5" s="1"/>
  <c r="AD3" i="5" s="1"/>
  <c r="AE3" i="5" s="1"/>
  <c r="AF3" i="5" s="1"/>
  <c r="AG3" i="5" s="1"/>
  <c r="AH3" i="5" s="1"/>
  <c r="AI3" i="5" s="1"/>
  <c r="AJ3" i="5" s="1"/>
  <c r="Z3" i="5"/>
  <c r="AA3" i="5" s="1"/>
  <c r="Y3" i="5"/>
  <c r="A96" i="4"/>
  <c r="A95" i="4"/>
  <c r="A94" i="4"/>
  <c r="A93" i="4"/>
  <c r="A92" i="4"/>
  <c r="A91" i="4"/>
  <c r="A90" i="4"/>
  <c r="A89" i="4"/>
  <c r="M87" i="4"/>
  <c r="A87" i="4"/>
  <c r="M86" i="4"/>
  <c r="A86" i="4"/>
  <c r="Y85" i="4"/>
  <c r="S85" i="4"/>
  <c r="M85" i="4"/>
  <c r="A85" i="4"/>
  <c r="Y84" i="4"/>
  <c r="M84" i="4"/>
  <c r="M82" i="4" s="1"/>
  <c r="A84" i="4"/>
  <c r="Y83" i="4"/>
  <c r="M83" i="4"/>
  <c r="A83" i="4"/>
  <c r="A82" i="4"/>
  <c r="M81" i="4"/>
  <c r="A81" i="4"/>
  <c r="M80" i="4"/>
  <c r="A80" i="4"/>
  <c r="M79" i="4"/>
  <c r="A79" i="4"/>
  <c r="M78" i="4"/>
  <c r="A78" i="4"/>
  <c r="M77" i="4"/>
  <c r="A77" i="4"/>
  <c r="M76" i="4"/>
  <c r="A76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A74" i="4"/>
  <c r="A73" i="4"/>
  <c r="A72" i="4"/>
  <c r="A71" i="4"/>
  <c r="I66" i="4"/>
  <c r="H66" i="4"/>
  <c r="G66" i="4"/>
  <c r="F66" i="4"/>
  <c r="A66" i="4"/>
  <c r="I65" i="4"/>
  <c r="H65" i="4"/>
  <c r="G65" i="4"/>
  <c r="F65" i="4"/>
  <c r="A65" i="4"/>
  <c r="I64" i="4"/>
  <c r="H64" i="4"/>
  <c r="G64" i="4"/>
  <c r="F64" i="4"/>
  <c r="A64" i="4"/>
  <c r="I63" i="4"/>
  <c r="H63" i="4"/>
  <c r="G63" i="4"/>
  <c r="F63" i="4"/>
  <c r="A63" i="4"/>
  <c r="I62" i="4"/>
  <c r="H62" i="4"/>
  <c r="G62" i="4"/>
  <c r="F62" i="4"/>
  <c r="A62" i="4"/>
  <c r="I61" i="4"/>
  <c r="H61" i="4"/>
  <c r="G61" i="4"/>
  <c r="F61" i="4"/>
  <c r="A61" i="4"/>
  <c r="I60" i="4"/>
  <c r="H60" i="4"/>
  <c r="G60" i="4"/>
  <c r="F60" i="4"/>
  <c r="A60" i="4"/>
  <c r="I59" i="4"/>
  <c r="H59" i="4"/>
  <c r="G59" i="4"/>
  <c r="F59" i="4"/>
  <c r="A59" i="4"/>
  <c r="I58" i="4"/>
  <c r="H58" i="4"/>
  <c r="G58" i="4"/>
  <c r="F58" i="4"/>
  <c r="A58" i="4"/>
  <c r="I57" i="4"/>
  <c r="H57" i="4"/>
  <c r="G57" i="4"/>
  <c r="F57" i="4"/>
  <c r="A57" i="4"/>
  <c r="A56" i="4"/>
  <c r="A55" i="4"/>
  <c r="A54" i="4"/>
  <c r="H51" i="4"/>
  <c r="G51" i="4"/>
  <c r="F51" i="4"/>
  <c r="A51" i="4"/>
  <c r="H50" i="4"/>
  <c r="G50" i="4"/>
  <c r="F50" i="4"/>
  <c r="A50" i="4"/>
  <c r="I49" i="4"/>
  <c r="H49" i="4"/>
  <c r="G49" i="4"/>
  <c r="F49" i="4"/>
  <c r="A49" i="4"/>
  <c r="M48" i="4"/>
  <c r="I48" i="4"/>
  <c r="H48" i="4"/>
  <c r="F48" i="4"/>
  <c r="A48" i="4"/>
  <c r="I47" i="4"/>
  <c r="H47" i="4"/>
  <c r="F47" i="4"/>
  <c r="A47" i="4"/>
  <c r="A46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A45" i="4"/>
  <c r="F44" i="4"/>
  <c r="A44" i="4"/>
  <c r="F43" i="4"/>
  <c r="A43" i="4"/>
  <c r="A42" i="4"/>
  <c r="F39" i="4"/>
  <c r="A39" i="4"/>
  <c r="F38" i="4"/>
  <c r="A38" i="4"/>
  <c r="O37" i="4"/>
  <c r="M37" i="4"/>
  <c r="I37" i="4"/>
  <c r="H37" i="4"/>
  <c r="G37" i="4"/>
  <c r="F37" i="4"/>
  <c r="A37" i="4"/>
  <c r="I36" i="4"/>
  <c r="H36" i="4"/>
  <c r="M36" i="4" s="1"/>
  <c r="G36" i="4"/>
  <c r="F36" i="4"/>
  <c r="A36" i="4"/>
  <c r="I35" i="4"/>
  <c r="H35" i="4"/>
  <c r="G35" i="4"/>
  <c r="F35" i="4"/>
  <c r="A35" i="4"/>
  <c r="I34" i="4"/>
  <c r="H34" i="4"/>
  <c r="G34" i="4"/>
  <c r="F34" i="4"/>
  <c r="A34" i="4"/>
  <c r="A33" i="4"/>
  <c r="A32" i="4"/>
  <c r="A31" i="4"/>
  <c r="I28" i="4"/>
  <c r="H28" i="4"/>
  <c r="G28" i="4"/>
  <c r="F28" i="4"/>
  <c r="A27" i="4"/>
  <c r="H25" i="4"/>
  <c r="G25" i="4"/>
  <c r="F25" i="4"/>
  <c r="A25" i="4"/>
  <c r="A24" i="4"/>
  <c r="A22" i="4"/>
  <c r="A21" i="4"/>
  <c r="M20" i="4"/>
  <c r="A20" i="4"/>
  <c r="M18" i="4"/>
  <c r="M19" i="4" s="1"/>
  <c r="A18" i="4"/>
  <c r="A17" i="4"/>
  <c r="A16" i="4"/>
  <c r="A15" i="4"/>
  <c r="A14" i="4"/>
  <c r="I12" i="4"/>
  <c r="H12" i="4"/>
  <c r="F12" i="4"/>
  <c r="A12" i="4"/>
  <c r="B10" i="6" s="1"/>
  <c r="H9" i="4"/>
  <c r="G9" i="4"/>
  <c r="F9" i="4"/>
  <c r="A9" i="4"/>
  <c r="A8" i="4"/>
  <c r="A7" i="4"/>
  <c r="A6" i="4"/>
  <c r="B9" i="6" s="1"/>
  <c r="A5" i="4"/>
  <c r="Q4" i="4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N4" i="4"/>
  <c r="O4" i="4" s="1"/>
  <c r="P4" i="4" s="1"/>
  <c r="Y3" i="4"/>
  <c r="BV9" i="3"/>
  <c r="M9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M6" i="3"/>
  <c r="N4" i="3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Y3" i="3"/>
  <c r="M61" i="2"/>
  <c r="N59" i="2"/>
  <c r="N58" i="2"/>
  <c r="AA57" i="2"/>
  <c r="AA85" i="4" s="1"/>
  <c r="Z57" i="2"/>
  <c r="Z85" i="4" s="1"/>
  <c r="U57" i="2"/>
  <c r="U85" i="4" s="1"/>
  <c r="T57" i="2"/>
  <c r="T85" i="4" s="1"/>
  <c r="N57" i="2"/>
  <c r="N85" i="4" s="1"/>
  <c r="G57" i="2"/>
  <c r="Z56" i="2"/>
  <c r="O56" i="2"/>
  <c r="N56" i="2"/>
  <c r="N84" i="4" s="1"/>
  <c r="G56" i="2"/>
  <c r="G48" i="4" s="1"/>
  <c r="AA55" i="2"/>
  <c r="AA83" i="4" s="1"/>
  <c r="Z55" i="2"/>
  <c r="Z83" i="4" s="1"/>
  <c r="P55" i="2"/>
  <c r="O55" i="2"/>
  <c r="O83" i="4" s="1"/>
  <c r="N55" i="2"/>
  <c r="N83" i="4" s="1"/>
  <c r="G55" i="2"/>
  <c r="G47" i="4" s="1"/>
  <c r="M52" i="2"/>
  <c r="H52" i="2"/>
  <c r="H44" i="4" s="1"/>
  <c r="G52" i="2"/>
  <c r="G44" i="4" s="1"/>
  <c r="M51" i="2"/>
  <c r="H51" i="2"/>
  <c r="H43" i="4" s="1"/>
  <c r="G51" i="2"/>
  <c r="G43" i="4" s="1"/>
  <c r="O49" i="2"/>
  <c r="N49" i="2"/>
  <c r="N81" i="4" s="1"/>
  <c r="N48" i="2"/>
  <c r="O47" i="2"/>
  <c r="N47" i="2"/>
  <c r="N79" i="4" s="1"/>
  <c r="N46" i="2"/>
  <c r="N45" i="2"/>
  <c r="N44" i="2"/>
  <c r="AJ42" i="2"/>
  <c r="AJ32" i="4" s="1"/>
  <c r="AI42" i="2"/>
  <c r="AI32" i="4" s="1"/>
  <c r="AG42" i="2"/>
  <c r="AG32" i="4" s="1"/>
  <c r="H42" i="2"/>
  <c r="Y42" i="2" s="1"/>
  <c r="Y32" i="4" s="1"/>
  <c r="A39" i="2"/>
  <c r="A28" i="4" s="1"/>
  <c r="M36" i="2"/>
  <c r="M34" i="2"/>
  <c r="M33" i="2"/>
  <c r="M32" i="2"/>
  <c r="H32" i="2"/>
  <c r="M30" i="2"/>
  <c r="H30" i="2"/>
  <c r="M29" i="2"/>
  <c r="H29" i="2"/>
  <c r="N28" i="2"/>
  <c r="N17" i="4" s="1"/>
  <c r="M28" i="2"/>
  <c r="M17" i="4" s="1"/>
  <c r="G24" i="2"/>
  <c r="G12" i="4" s="1"/>
  <c r="M23" i="2"/>
  <c r="M9" i="4" s="1"/>
  <c r="M21" i="2"/>
  <c r="M19" i="2"/>
  <c r="H19" i="2"/>
  <c r="H15" i="2"/>
  <c r="G15" i="2"/>
  <c r="M15" i="2" s="1"/>
  <c r="M14" i="2"/>
  <c r="M12" i="2"/>
  <c r="M11" i="2"/>
  <c r="H11" i="2"/>
  <c r="N4" i="2"/>
  <c r="Y3" i="2"/>
  <c r="O81" i="4" l="1"/>
  <c r="P49" i="2"/>
  <c r="Z84" i="4"/>
  <c r="AA56" i="2"/>
  <c r="O4" i="2"/>
  <c r="N78" i="4"/>
  <c r="O46" i="2"/>
  <c r="O36" i="4" s="1"/>
  <c r="N36" i="4"/>
  <c r="M55" i="4"/>
  <c r="M73" i="4"/>
  <c r="M72" i="4" s="1"/>
  <c r="M42" i="2"/>
  <c r="N86" i="4"/>
  <c r="N82" i="4" s="1"/>
  <c r="N50" i="4"/>
  <c r="O58" i="2"/>
  <c r="N61" i="2"/>
  <c r="P42" i="2"/>
  <c r="P32" i="4" s="1"/>
  <c r="Y49" i="4"/>
  <c r="U49" i="4"/>
  <c r="T49" i="4"/>
  <c r="S49" i="4"/>
  <c r="N49" i="4"/>
  <c r="M49" i="4"/>
  <c r="Z49" i="4"/>
  <c r="Q42" i="2"/>
  <c r="Q32" i="4" s="1"/>
  <c r="N51" i="4"/>
  <c r="M51" i="4"/>
  <c r="S42" i="2"/>
  <c r="S32" i="4" s="1"/>
  <c r="M11" i="3"/>
  <c r="M13" i="3"/>
  <c r="Z3" i="2"/>
  <c r="O28" i="2"/>
  <c r="T42" i="2"/>
  <c r="T32" i="4" s="1"/>
  <c r="O79" i="4"/>
  <c r="P47" i="2"/>
  <c r="O57" i="2"/>
  <c r="Z3" i="3"/>
  <c r="U42" i="2"/>
  <c r="U32" i="4" s="1"/>
  <c r="X42" i="2"/>
  <c r="X32" i="4" s="1"/>
  <c r="N76" i="4"/>
  <c r="O44" i="2"/>
  <c r="N87" i="4"/>
  <c r="O59" i="2"/>
  <c r="N35" i="4"/>
  <c r="M35" i="4"/>
  <c r="P83" i="4"/>
  <c r="Q55" i="2"/>
  <c r="M25" i="4"/>
  <c r="M26" i="4" s="1"/>
  <c r="M28" i="4" s="1"/>
  <c r="Z42" i="2"/>
  <c r="Z32" i="4" s="1"/>
  <c r="AC42" i="2"/>
  <c r="AC32" i="4" s="1"/>
  <c r="N42" i="2"/>
  <c r="N32" i="4" s="1"/>
  <c r="AH42" i="2"/>
  <c r="AH32" i="4" s="1"/>
  <c r="R42" i="2"/>
  <c r="R32" i="4" s="1"/>
  <c r="AE42" i="2"/>
  <c r="AE32" i="4" s="1"/>
  <c r="O42" i="2"/>
  <c r="O32" i="4" s="1"/>
  <c r="AB42" i="2"/>
  <c r="AB32" i="4" s="1"/>
  <c r="AA42" i="2"/>
  <c r="AA32" i="4" s="1"/>
  <c r="I42" i="2"/>
  <c r="W42" i="2"/>
  <c r="W32" i="4" s="1"/>
  <c r="V42" i="2"/>
  <c r="V32" i="4" s="1"/>
  <c r="AD42" i="2"/>
  <c r="AD32" i="4" s="1"/>
  <c r="AF42" i="2"/>
  <c r="AF32" i="4" s="1"/>
  <c r="AB57" i="2"/>
  <c r="N80" i="4"/>
  <c r="O48" i="2"/>
  <c r="O47" i="4"/>
  <c r="Z47" i="4"/>
  <c r="Q47" i="4"/>
  <c r="Y47" i="4"/>
  <c r="P47" i="4"/>
  <c r="N47" i="4"/>
  <c r="M47" i="4"/>
  <c r="N77" i="4"/>
  <c r="O45" i="2"/>
  <c r="O48" i="4"/>
  <c r="Y48" i="4"/>
  <c r="N48" i="4"/>
  <c r="M34" i="4"/>
  <c r="N34" i="4"/>
  <c r="Z3" i="4"/>
  <c r="O84" i="4"/>
  <c r="P56" i="2"/>
  <c r="AB55" i="2"/>
  <c r="V57" i="2"/>
  <c r="O34" i="4"/>
  <c r="O4" i="6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M50" i="4"/>
  <c r="N37" i="4"/>
  <c r="M75" i="4"/>
  <c r="P4" i="7"/>
  <c r="Z3" i="6"/>
  <c r="Z3" i="8"/>
  <c r="Q4" i="7" l="1"/>
  <c r="M40" i="4"/>
  <c r="AA3" i="8"/>
  <c r="O17" i="4"/>
  <c r="P28" i="2"/>
  <c r="AN42" i="2"/>
  <c r="AN32" i="4" s="1"/>
  <c r="AR42" i="2"/>
  <c r="AR32" i="4" s="1"/>
  <c r="AU42" i="2"/>
  <c r="AU32" i="4" s="1"/>
  <c r="AS42" i="2"/>
  <c r="AS32" i="4" s="1"/>
  <c r="J42" i="2"/>
  <c r="AQ42" i="2"/>
  <c r="AQ32" i="4" s="1"/>
  <c r="AV42" i="2"/>
  <c r="AV32" i="4" s="1"/>
  <c r="AT42" i="2"/>
  <c r="AT32" i="4" s="1"/>
  <c r="AK42" i="2"/>
  <c r="AK32" i="4" s="1"/>
  <c r="AP42" i="2"/>
  <c r="AP32" i="4" s="1"/>
  <c r="AO42" i="2"/>
  <c r="AO32" i="4" s="1"/>
  <c r="AM42" i="2"/>
  <c r="AM32" i="4" s="1"/>
  <c r="AL42" i="2"/>
  <c r="AL32" i="4" s="1"/>
  <c r="O77" i="4"/>
  <c r="P45" i="2"/>
  <c r="P84" i="4"/>
  <c r="Q56" i="2"/>
  <c r="P48" i="4"/>
  <c r="AA3" i="4"/>
  <c r="M52" i="4"/>
  <c r="M6" i="6"/>
  <c r="N9" i="3"/>
  <c r="N11" i="3" s="1"/>
  <c r="M70" i="2"/>
  <c r="M71" i="2"/>
  <c r="M65" i="4" s="1"/>
  <c r="M68" i="2"/>
  <c r="M65" i="2"/>
  <c r="M66" i="2"/>
  <c r="M63" i="2"/>
  <c r="M16" i="3"/>
  <c r="M67" i="2"/>
  <c r="M72" i="2"/>
  <c r="M66" i="4" s="1"/>
  <c r="M64" i="2"/>
  <c r="M10" i="4"/>
  <c r="M69" i="2"/>
  <c r="AA3" i="3"/>
  <c r="V85" i="4"/>
  <c r="W57" i="2"/>
  <c r="N52" i="4"/>
  <c r="N21" i="6" s="1"/>
  <c r="O35" i="4"/>
  <c r="O40" i="4" s="1"/>
  <c r="O87" i="4"/>
  <c r="P59" i="2"/>
  <c r="M32" i="4"/>
  <c r="P4" i="2"/>
  <c r="AA3" i="6"/>
  <c r="AB83" i="4"/>
  <c r="AC55" i="2"/>
  <c r="Z48" i="4"/>
  <c r="Q83" i="4"/>
  <c r="R55" i="2"/>
  <c r="O85" i="4"/>
  <c r="O82" i="4" s="1"/>
  <c r="P57" i="2"/>
  <c r="V49" i="4"/>
  <c r="AA84" i="4"/>
  <c r="AB56" i="2"/>
  <c r="O80" i="4"/>
  <c r="P48" i="2"/>
  <c r="N55" i="4"/>
  <c r="O61" i="2"/>
  <c r="AA3" i="2"/>
  <c r="O76" i="4"/>
  <c r="P44" i="2"/>
  <c r="O49" i="4"/>
  <c r="O52" i="4" s="1"/>
  <c r="O21" i="6" s="1"/>
  <c r="M29" i="4"/>
  <c r="M22" i="4"/>
  <c r="N75" i="4"/>
  <c r="O51" i="4"/>
  <c r="M17" i="6"/>
  <c r="P81" i="4"/>
  <c r="Q49" i="2"/>
  <c r="N40" i="4"/>
  <c r="P79" i="4"/>
  <c r="P37" i="4"/>
  <c r="Q47" i="2"/>
  <c r="O86" i="4"/>
  <c r="O50" i="4"/>
  <c r="P58" i="2"/>
  <c r="AB85" i="4"/>
  <c r="AC57" i="2"/>
  <c r="O78" i="4"/>
  <c r="P46" i="2"/>
  <c r="O20" i="6" l="1"/>
  <c r="O41" i="4"/>
  <c r="P78" i="4"/>
  <c r="P36" i="4"/>
  <c r="Q46" i="2"/>
  <c r="N6" i="6"/>
  <c r="N69" i="2"/>
  <c r="N67" i="2"/>
  <c r="N71" i="2"/>
  <c r="N65" i="4" s="1"/>
  <c r="N68" i="2"/>
  <c r="N65" i="2"/>
  <c r="N63" i="2"/>
  <c r="N66" i="2"/>
  <c r="N70" i="2"/>
  <c r="N72" i="2"/>
  <c r="N66" i="4" s="1"/>
  <c r="N64" i="2"/>
  <c r="O9" i="3"/>
  <c r="O11" i="3" s="1"/>
  <c r="AB3" i="8"/>
  <c r="AB84" i="4"/>
  <c r="AC56" i="2"/>
  <c r="M20" i="6"/>
  <c r="M41" i="4"/>
  <c r="Q79" i="4"/>
  <c r="Q37" i="4"/>
  <c r="R47" i="2"/>
  <c r="AC83" i="4"/>
  <c r="AD55" i="2"/>
  <c r="M95" i="4"/>
  <c r="M63" i="4"/>
  <c r="M12" i="4"/>
  <c r="M71" i="4"/>
  <c r="M21" i="6"/>
  <c r="AC85" i="4"/>
  <c r="AD57" i="2"/>
  <c r="M90" i="4"/>
  <c r="M58" i="4"/>
  <c r="O55" i="4"/>
  <c r="P61" i="2"/>
  <c r="AB3" i="3"/>
  <c r="N17" i="6"/>
  <c r="P85" i="4"/>
  <c r="P82" i="4" s="1"/>
  <c r="Q57" i="2"/>
  <c r="P49" i="4"/>
  <c r="M93" i="4"/>
  <c r="M61" i="4"/>
  <c r="P86" i="4"/>
  <c r="Q58" i="2"/>
  <c r="P50" i="4"/>
  <c r="N20" i="6"/>
  <c r="N41" i="4"/>
  <c r="AB3" i="2"/>
  <c r="P80" i="4"/>
  <c r="Q48" i="2"/>
  <c r="M7" i="6"/>
  <c r="M17" i="3"/>
  <c r="M7" i="4"/>
  <c r="P76" i="4"/>
  <c r="Q44" i="2"/>
  <c r="P34" i="4"/>
  <c r="AB3" i="6"/>
  <c r="M89" i="4"/>
  <c r="M57" i="4"/>
  <c r="P77" i="4"/>
  <c r="Q45" i="2"/>
  <c r="P35" i="4"/>
  <c r="BB42" i="2"/>
  <c r="BB32" i="4" s="1"/>
  <c r="K42" i="2"/>
  <c r="BG42" i="2"/>
  <c r="BG32" i="4" s="1"/>
  <c r="AX42" i="2"/>
  <c r="AX32" i="4" s="1"/>
  <c r="BH42" i="2"/>
  <c r="BH32" i="4" s="1"/>
  <c r="BD42" i="2"/>
  <c r="BD32" i="4" s="1"/>
  <c r="BC42" i="2"/>
  <c r="BC32" i="4" s="1"/>
  <c r="BA42" i="2"/>
  <c r="BA32" i="4" s="1"/>
  <c r="AZ42" i="2"/>
  <c r="AZ32" i="4" s="1"/>
  <c r="AY42" i="2"/>
  <c r="AY32" i="4" s="1"/>
  <c r="AW42" i="2"/>
  <c r="AW32" i="4" s="1"/>
  <c r="BF42" i="2"/>
  <c r="BF32" i="4" s="1"/>
  <c r="BE42" i="2"/>
  <c r="BE32" i="4" s="1"/>
  <c r="R4" i="7"/>
  <c r="Q81" i="4"/>
  <c r="R49" i="2"/>
  <c r="W85" i="4"/>
  <c r="X57" i="2"/>
  <c r="W49" i="4"/>
  <c r="P17" i="4"/>
  <c r="Q28" i="2"/>
  <c r="M23" i="4"/>
  <c r="O75" i="4"/>
  <c r="R83" i="4"/>
  <c r="S55" i="2"/>
  <c r="R47" i="4"/>
  <c r="M92" i="4"/>
  <c r="M60" i="4"/>
  <c r="M19" i="6"/>
  <c r="P87" i="4"/>
  <c r="Q59" i="2"/>
  <c r="P51" i="4"/>
  <c r="M91" i="4"/>
  <c r="M59" i="4"/>
  <c r="Q4" i="2"/>
  <c r="M94" i="4"/>
  <c r="M62" i="4"/>
  <c r="M96" i="4"/>
  <c r="M64" i="4"/>
  <c r="AB3" i="4"/>
  <c r="AA49" i="4"/>
  <c r="AA47" i="4"/>
  <c r="AA48" i="4"/>
  <c r="Q84" i="4"/>
  <c r="Q48" i="4"/>
  <c r="R56" i="2"/>
  <c r="M15" i="6" l="1"/>
  <c r="M30" i="4"/>
  <c r="N93" i="4"/>
  <c r="N61" i="4"/>
  <c r="M10" i="6"/>
  <c r="N95" i="4"/>
  <c r="N63" i="4"/>
  <c r="AC3" i="6"/>
  <c r="O6" i="6"/>
  <c r="O64" i="2"/>
  <c r="O68" i="2"/>
  <c r="O65" i="2"/>
  <c r="O72" i="2"/>
  <c r="O66" i="4" s="1"/>
  <c r="O63" i="2"/>
  <c r="O71" i="2"/>
  <c r="O65" i="4" s="1"/>
  <c r="P9" i="3"/>
  <c r="P11" i="3" s="1"/>
  <c r="O70" i="2"/>
  <c r="O67" i="2"/>
  <c r="O69" i="2"/>
  <c r="O66" i="2"/>
  <c r="Q78" i="4"/>
  <c r="Q36" i="4"/>
  <c r="R46" i="2"/>
  <c r="M13" i="4"/>
  <c r="M6" i="4"/>
  <c r="R81" i="4"/>
  <c r="S49" i="2"/>
  <c r="Q87" i="4"/>
  <c r="R59" i="2"/>
  <c r="Q51" i="4"/>
  <c r="N96" i="4"/>
  <c r="N64" i="4"/>
  <c r="Q17" i="4"/>
  <c r="R28" i="2"/>
  <c r="P40" i="4"/>
  <c r="N92" i="4"/>
  <c r="N60" i="4"/>
  <c r="BZ16" i="7"/>
  <c r="R44" i="2"/>
  <c r="Q76" i="4"/>
  <c r="Q75" i="4" s="1"/>
  <c r="Q34" i="4"/>
  <c r="Q40" i="4" s="1"/>
  <c r="Q85" i="4"/>
  <c r="Q82" i="4" s="1"/>
  <c r="R57" i="2"/>
  <c r="Q49" i="4"/>
  <c r="O17" i="6"/>
  <c r="M88" i="4"/>
  <c r="M97" i="4" s="1"/>
  <c r="S83" i="4"/>
  <c r="T55" i="2"/>
  <c r="S47" i="4"/>
  <c r="R4" i="2"/>
  <c r="P75" i="4"/>
  <c r="AD85" i="4"/>
  <c r="AE57" i="2"/>
  <c r="AD83" i="4"/>
  <c r="AE55" i="2"/>
  <c r="N89" i="4"/>
  <c r="N57" i="4"/>
  <c r="M67" i="4"/>
  <c r="Q52" i="4"/>
  <c r="Q21" i="6" s="1"/>
  <c r="AC3" i="2"/>
  <c r="N90" i="4"/>
  <c r="N58" i="4"/>
  <c r="AC84" i="4"/>
  <c r="AD56" i="2"/>
  <c r="BY27" i="7"/>
  <c r="BP42" i="2"/>
  <c r="BP32" i="4" s="1"/>
  <c r="BN42" i="2"/>
  <c r="BN32" i="4" s="1"/>
  <c r="BK42" i="2"/>
  <c r="BK32" i="4" s="1"/>
  <c r="BI42" i="2"/>
  <c r="BI32" i="4" s="1"/>
  <c r="BR42" i="2"/>
  <c r="BR32" i="4" s="1"/>
  <c r="BQ42" i="2"/>
  <c r="BQ32" i="4" s="1"/>
  <c r="BT42" i="2"/>
  <c r="BT32" i="4" s="1"/>
  <c r="BS42" i="2"/>
  <c r="BS32" i="4" s="1"/>
  <c r="BO42" i="2"/>
  <c r="BO32" i="4" s="1"/>
  <c r="BM42" i="2"/>
  <c r="BM32" i="4" s="1"/>
  <c r="BL42" i="2"/>
  <c r="BL32" i="4" s="1"/>
  <c r="BJ42" i="2"/>
  <c r="BJ32" i="4" s="1"/>
  <c r="Q80" i="4"/>
  <c r="R48" i="2"/>
  <c r="AB48" i="4"/>
  <c r="S4" i="7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BC4" i="7" s="1"/>
  <c r="BD4" i="7" s="1"/>
  <c r="BE4" i="7" s="1"/>
  <c r="BF4" i="7" s="1"/>
  <c r="BG4" i="7" s="1"/>
  <c r="BH4" i="7" s="1"/>
  <c r="BI4" i="7" s="1"/>
  <c r="BJ4" i="7" s="1"/>
  <c r="BK4" i="7" s="1"/>
  <c r="BL4" i="7" s="1"/>
  <c r="BM4" i="7" s="1"/>
  <c r="BN4" i="7" s="1"/>
  <c r="BO4" i="7" s="1"/>
  <c r="BP4" i="7" s="1"/>
  <c r="BQ4" i="7" s="1"/>
  <c r="BR4" i="7" s="1"/>
  <c r="BS4" i="7" s="1"/>
  <c r="BT4" i="7" s="1"/>
  <c r="BW25" i="7"/>
  <c r="BV26" i="7"/>
  <c r="BY17" i="7"/>
  <c r="BV32" i="7"/>
  <c r="BZ25" i="7"/>
  <c r="BZ28" i="7" s="1"/>
  <c r="BZ27" i="7"/>
  <c r="BY16" i="7"/>
  <c r="BW27" i="7"/>
  <c r="BX26" i="7"/>
  <c r="BW18" i="7"/>
  <c r="BW34" i="7"/>
  <c r="BY25" i="7"/>
  <c r="BY28" i="7" s="1"/>
  <c r="BY32" i="7"/>
  <c r="BW17" i="7"/>
  <c r="BY13" i="7"/>
  <c r="BZ32" i="7"/>
  <c r="BZ34" i="7"/>
  <c r="BX27" i="7"/>
  <c r="BY18" i="7"/>
  <c r="BZ18" i="7"/>
  <c r="BX16" i="7"/>
  <c r="BV16" i="7"/>
  <c r="BX25" i="7"/>
  <c r="BW13" i="7"/>
  <c r="BW16" i="7"/>
  <c r="BV31" i="7"/>
  <c r="BX34" i="7"/>
  <c r="BV27" i="7"/>
  <c r="BX32" i="7"/>
  <c r="BW32" i="7"/>
  <c r="BV25" i="7"/>
  <c r="BV34" i="7"/>
  <c r="BV18" i="7"/>
  <c r="BW26" i="7"/>
  <c r="BX18" i="7"/>
  <c r="BZ13" i="7"/>
  <c r="BX17" i="7"/>
  <c r="BV17" i="7"/>
  <c r="BZ17" i="7"/>
  <c r="BZ26" i="7"/>
  <c r="BY31" i="7"/>
  <c r="BX13" i="7"/>
  <c r="BX31" i="7"/>
  <c r="BY26" i="7"/>
  <c r="BW31" i="7"/>
  <c r="BY34" i="7"/>
  <c r="BZ31" i="7"/>
  <c r="N91" i="4"/>
  <c r="N59" i="4"/>
  <c r="X85" i="4"/>
  <c r="X49" i="4"/>
  <c r="R79" i="4"/>
  <c r="S47" i="2"/>
  <c r="R37" i="4"/>
  <c r="N62" i="4"/>
  <c r="N94" i="4"/>
  <c r="AC3" i="4"/>
  <c r="AB47" i="4"/>
  <c r="AB49" i="4"/>
  <c r="AC3" i="3"/>
  <c r="AD3" i="3" s="1"/>
  <c r="AE3" i="3" s="1"/>
  <c r="AF3" i="3" s="1"/>
  <c r="AG3" i="3" s="1"/>
  <c r="AH3" i="3" s="1"/>
  <c r="AI3" i="3" s="1"/>
  <c r="AJ3" i="3" s="1"/>
  <c r="BY8" i="3"/>
  <c r="BX8" i="3"/>
  <c r="Q61" i="2"/>
  <c r="P55" i="4"/>
  <c r="AC3" i="8"/>
  <c r="R84" i="4"/>
  <c r="S56" i="2"/>
  <c r="R48" i="4"/>
  <c r="Q77" i="4"/>
  <c r="R45" i="2"/>
  <c r="Q35" i="4"/>
  <c r="Q86" i="4"/>
  <c r="R58" i="2"/>
  <c r="Q50" i="4"/>
  <c r="P52" i="4"/>
  <c r="S84" i="4" l="1"/>
  <c r="T56" i="2"/>
  <c r="S48" i="4"/>
  <c r="AD3" i="4"/>
  <c r="AC47" i="4"/>
  <c r="AC49" i="4"/>
  <c r="AD3" i="2"/>
  <c r="S81" i="4"/>
  <c r="T49" i="2"/>
  <c r="AC48" i="4"/>
  <c r="AE85" i="4"/>
  <c r="AF57" i="2"/>
  <c r="O90" i="4"/>
  <c r="O58" i="4"/>
  <c r="BV8" i="3"/>
  <c r="AD3" i="8"/>
  <c r="AD84" i="4"/>
  <c r="AE56" i="2"/>
  <c r="S4" i="2"/>
  <c r="R78" i="4"/>
  <c r="R36" i="4"/>
  <c r="S46" i="2"/>
  <c r="BW28" i="7"/>
  <c r="R85" i="4"/>
  <c r="R82" i="4" s="1"/>
  <c r="R49" i="4"/>
  <c r="R52" i="4" s="1"/>
  <c r="BV13" i="7"/>
  <c r="Q20" i="6"/>
  <c r="Q41" i="4"/>
  <c r="O89" i="4"/>
  <c r="O57" i="4"/>
  <c r="S44" i="2"/>
  <c r="R76" i="4"/>
  <c r="R34" i="4"/>
  <c r="R40" i="4" s="1"/>
  <c r="O91" i="4"/>
  <c r="O59" i="4"/>
  <c r="P21" i="6"/>
  <c r="R86" i="4"/>
  <c r="S58" i="2"/>
  <c r="R50" i="4"/>
  <c r="P17" i="6"/>
  <c r="BX28" i="7"/>
  <c r="BZ8" i="3"/>
  <c r="T83" i="4"/>
  <c r="U55" i="2"/>
  <c r="T47" i="4"/>
  <c r="R87" i="4"/>
  <c r="S59" i="2"/>
  <c r="R51" i="4"/>
  <c r="O92" i="4"/>
  <c r="O60" i="4"/>
  <c r="Q55" i="4"/>
  <c r="R61" i="2"/>
  <c r="R80" i="4"/>
  <c r="S48" i="2"/>
  <c r="M22" i="6"/>
  <c r="M68" i="4"/>
  <c r="O95" i="4"/>
  <c r="O63" i="4"/>
  <c r="O94" i="4"/>
  <c r="O62" i="4"/>
  <c r="P41" i="4"/>
  <c r="P20" i="6"/>
  <c r="M9" i="6"/>
  <c r="O93" i="4"/>
  <c r="O61" i="4"/>
  <c r="R77" i="4"/>
  <c r="S45" i="2"/>
  <c r="R35" i="4"/>
  <c r="S79" i="4"/>
  <c r="T47" i="2"/>
  <c r="S37" i="4"/>
  <c r="N67" i="4"/>
  <c r="O96" i="4"/>
  <c r="O64" i="4"/>
  <c r="AE83" i="4"/>
  <c r="AF55" i="2"/>
  <c r="R17" i="4"/>
  <c r="S28" i="2"/>
  <c r="BV28" i="7"/>
  <c r="N88" i="4"/>
  <c r="M44" i="4"/>
  <c r="M43" i="4"/>
  <c r="BW8" i="3"/>
  <c r="P6" i="6"/>
  <c r="P72" i="2"/>
  <c r="P66" i="4" s="1"/>
  <c r="P65" i="2"/>
  <c r="Q9" i="3"/>
  <c r="Q11" i="3" s="1"/>
  <c r="P71" i="2"/>
  <c r="P65" i="4" s="1"/>
  <c r="P68" i="2"/>
  <c r="P70" i="2"/>
  <c r="P63" i="2"/>
  <c r="P67" i="2"/>
  <c r="P64" i="2"/>
  <c r="P69" i="2"/>
  <c r="P66" i="2"/>
  <c r="AD3" i="6"/>
  <c r="R21" i="6" l="1"/>
  <c r="S17" i="4"/>
  <c r="T28" i="2"/>
  <c r="U83" i="4"/>
  <c r="V55" i="2"/>
  <c r="U47" i="4"/>
  <c r="P63" i="4"/>
  <c r="P95" i="4"/>
  <c r="P90" i="4"/>
  <c r="P58" i="4"/>
  <c r="M16" i="6"/>
  <c r="M53" i="4"/>
  <c r="O67" i="4"/>
  <c r="T4" i="2"/>
  <c r="P92" i="4"/>
  <c r="P60" i="4"/>
  <c r="S86" i="4"/>
  <c r="S82" i="4" s="1"/>
  <c r="T58" i="2"/>
  <c r="S50" i="4"/>
  <c r="S52" i="4" s="1"/>
  <c r="N22" i="6"/>
  <c r="N68" i="4"/>
  <c r="R75" i="4"/>
  <c r="S76" i="4"/>
  <c r="T44" i="2"/>
  <c r="S34" i="4"/>
  <c r="S78" i="4"/>
  <c r="T46" i="2"/>
  <c r="S36" i="4"/>
  <c r="O88" i="4"/>
  <c r="S80" i="4"/>
  <c r="T48" i="2"/>
  <c r="AE3" i="8"/>
  <c r="P94" i="4"/>
  <c r="P62" i="4"/>
  <c r="Q17" i="6"/>
  <c r="S87" i="4"/>
  <c r="T59" i="2"/>
  <c r="S51" i="4"/>
  <c r="AD48" i="4"/>
  <c r="AF85" i="4"/>
  <c r="AG57" i="2"/>
  <c r="AE3" i="6"/>
  <c r="P89" i="4"/>
  <c r="P57" i="4"/>
  <c r="T81" i="4"/>
  <c r="U49" i="2"/>
  <c r="P96" i="4"/>
  <c r="P64" i="4"/>
  <c r="S77" i="4"/>
  <c r="T45" i="2"/>
  <c r="S35" i="4"/>
  <c r="R55" i="4"/>
  <c r="S61" i="2"/>
  <c r="Q6" i="6"/>
  <c r="Q71" i="2"/>
  <c r="Q65" i="4" s="1"/>
  <c r="Q65" i="2"/>
  <c r="Q72" i="2"/>
  <c r="Q66" i="4" s="1"/>
  <c r="Q69" i="2"/>
  <c r="Q68" i="2"/>
  <c r="R9" i="3"/>
  <c r="R11" i="3" s="1"/>
  <c r="Q70" i="2"/>
  <c r="Q67" i="2"/>
  <c r="Q64" i="2"/>
  <c r="Q66" i="2"/>
  <c r="Q63" i="2"/>
  <c r="M18" i="6"/>
  <c r="AE84" i="4"/>
  <c r="AF56" i="2"/>
  <c r="AE3" i="2"/>
  <c r="AF83" i="4"/>
  <c r="AG55" i="2"/>
  <c r="M11" i="6"/>
  <c r="T84" i="4"/>
  <c r="U56" i="2"/>
  <c r="T48" i="4"/>
  <c r="P93" i="4"/>
  <c r="P61" i="4"/>
  <c r="T79" i="4"/>
  <c r="T37" i="4"/>
  <c r="U47" i="2"/>
  <c r="R20" i="6"/>
  <c r="R41" i="4"/>
  <c r="P91" i="4"/>
  <c r="P59" i="4"/>
  <c r="AE3" i="4"/>
  <c r="AD49" i="4"/>
  <c r="AD47" i="4"/>
  <c r="S21" i="6" l="1"/>
  <c r="U84" i="4"/>
  <c r="V56" i="2"/>
  <c r="U48" i="4"/>
  <c r="Q89" i="4"/>
  <c r="Q57" i="4"/>
  <c r="M23" i="6"/>
  <c r="AG85" i="4"/>
  <c r="AH57" i="2"/>
  <c r="Q91" i="4"/>
  <c r="Q59" i="4"/>
  <c r="M12" i="6"/>
  <c r="P67" i="4"/>
  <c r="AF3" i="2"/>
  <c r="T87" i="4"/>
  <c r="U59" i="2"/>
  <c r="T51" i="4"/>
  <c r="AF3" i="6"/>
  <c r="O22" i="6"/>
  <c r="O68" i="4"/>
  <c r="U28" i="2"/>
  <c r="T17" i="4"/>
  <c r="Q95" i="4"/>
  <c r="Q63" i="4"/>
  <c r="AF3" i="8"/>
  <c r="S40" i="4"/>
  <c r="U81" i="4"/>
  <c r="V49" i="2"/>
  <c r="T76" i="4"/>
  <c r="T75" i="4" s="1"/>
  <c r="U44" i="2"/>
  <c r="T34" i="4"/>
  <c r="T80" i="4"/>
  <c r="U48" i="2"/>
  <c r="S75" i="4"/>
  <c r="Q92" i="4"/>
  <c r="Q60" i="4"/>
  <c r="S55" i="4"/>
  <c r="T61" i="2"/>
  <c r="P88" i="4"/>
  <c r="Q90" i="4"/>
  <c r="Q58" i="4"/>
  <c r="R17" i="6"/>
  <c r="V83" i="4"/>
  <c r="W55" i="2"/>
  <c r="V47" i="4"/>
  <c r="T78" i="4"/>
  <c r="U46" i="2"/>
  <c r="T36" i="4"/>
  <c r="AF3" i="4"/>
  <c r="AE47" i="4"/>
  <c r="AE49" i="4"/>
  <c r="AG83" i="4"/>
  <c r="AH55" i="2"/>
  <c r="AE48" i="4"/>
  <c r="Q93" i="4"/>
  <c r="Q61" i="4"/>
  <c r="T86" i="4"/>
  <c r="T50" i="4"/>
  <c r="U58" i="2"/>
  <c r="Q94" i="4"/>
  <c r="Q62" i="4"/>
  <c r="AF84" i="4"/>
  <c r="AG56" i="2"/>
  <c r="Q96" i="4"/>
  <c r="Q64" i="4"/>
  <c r="T77" i="4"/>
  <c r="U45" i="2"/>
  <c r="T35" i="4"/>
  <c r="U79" i="4"/>
  <c r="U37" i="4"/>
  <c r="V47" i="2"/>
  <c r="R6" i="6"/>
  <c r="R68" i="2"/>
  <c r="R72" i="2"/>
  <c r="R66" i="4" s="1"/>
  <c r="R69" i="2"/>
  <c r="R66" i="2"/>
  <c r="S9" i="3"/>
  <c r="S11" i="3" s="1"/>
  <c r="R70" i="2"/>
  <c r="R65" i="2"/>
  <c r="R67" i="2"/>
  <c r="R71" i="2"/>
  <c r="R65" i="4" s="1"/>
  <c r="R64" i="2"/>
  <c r="R63" i="2"/>
  <c r="U4" i="2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N34" i="2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Y34" i="2" s="1"/>
  <c r="AZ34" i="2" s="1"/>
  <c r="BA34" i="2" s="1"/>
  <c r="BB34" i="2" s="1"/>
  <c r="BC34" i="2" s="1"/>
  <c r="BD34" i="2" s="1"/>
  <c r="BE34" i="2" s="1"/>
  <c r="BF34" i="2" s="1"/>
  <c r="BG34" i="2" s="1"/>
  <c r="BH34" i="2" s="1"/>
  <c r="BI34" i="2" s="1"/>
  <c r="BJ34" i="2" s="1"/>
  <c r="BK34" i="2" s="1"/>
  <c r="BL34" i="2" s="1"/>
  <c r="BM34" i="2" s="1"/>
  <c r="BN34" i="2" s="1"/>
  <c r="BO34" i="2" s="1"/>
  <c r="BP34" i="2" s="1"/>
  <c r="BQ34" i="2" s="1"/>
  <c r="BR34" i="2" s="1"/>
  <c r="BS34" i="2" s="1"/>
  <c r="BT34" i="2" s="1"/>
  <c r="N30" i="2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AG30" i="2" s="1"/>
  <c r="AH30" i="2" s="1"/>
  <c r="AI30" i="2" s="1"/>
  <c r="AJ30" i="2" s="1"/>
  <c r="AK30" i="2" s="1"/>
  <c r="AL30" i="2" s="1"/>
  <c r="AM30" i="2" s="1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N29" i="2"/>
  <c r="N51" i="2"/>
  <c r="N21" i="2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N23" i="2"/>
  <c r="N36" i="2"/>
  <c r="N14" i="2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O51" i="2" l="1"/>
  <c r="AG3" i="8"/>
  <c r="U17" i="4"/>
  <c r="V28" i="2"/>
  <c r="AG3" i="2"/>
  <c r="N52" i="2"/>
  <c r="N19" i="2"/>
  <c r="N15" i="2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N12" i="2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N33" i="2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BB33" i="2" s="1"/>
  <c r="BC33" i="2" s="1"/>
  <c r="BD33" i="2" s="1"/>
  <c r="BE33" i="2" s="1"/>
  <c r="BF33" i="2" s="1"/>
  <c r="BG33" i="2" s="1"/>
  <c r="BH33" i="2" s="1"/>
  <c r="BI33" i="2" s="1"/>
  <c r="BJ33" i="2" s="1"/>
  <c r="BK33" i="2" s="1"/>
  <c r="BL33" i="2" s="1"/>
  <c r="BM33" i="2" s="1"/>
  <c r="BN33" i="2" s="1"/>
  <c r="BO33" i="2" s="1"/>
  <c r="BP33" i="2" s="1"/>
  <c r="BQ33" i="2" s="1"/>
  <c r="BR33" i="2" s="1"/>
  <c r="BS33" i="2" s="1"/>
  <c r="BT33" i="2" s="1"/>
  <c r="N11" i="2"/>
  <c r="U77" i="4"/>
  <c r="V45" i="2"/>
  <c r="U35" i="4"/>
  <c r="R95" i="4"/>
  <c r="R63" i="4"/>
  <c r="P22" i="6"/>
  <c r="P68" i="4"/>
  <c r="N25" i="4"/>
  <c r="O36" i="2"/>
  <c r="V81" i="4"/>
  <c r="W49" i="2"/>
  <c r="N18" i="4"/>
  <c r="N19" i="4" s="1"/>
  <c r="O29" i="2"/>
  <c r="N6" i="3"/>
  <c r="W83" i="4"/>
  <c r="X55" i="2"/>
  <c r="W47" i="4"/>
  <c r="U80" i="4"/>
  <c r="V48" i="2"/>
  <c r="M25" i="6"/>
  <c r="M13" i="6"/>
  <c r="R94" i="4"/>
  <c r="R62" i="4"/>
  <c r="AG3" i="4"/>
  <c r="AF49" i="4"/>
  <c r="AF47" i="4"/>
  <c r="N9" i="4"/>
  <c r="O23" i="2"/>
  <c r="N10" i="4"/>
  <c r="R93" i="4"/>
  <c r="R61" i="4"/>
  <c r="R91" i="4"/>
  <c r="R59" i="4"/>
  <c r="U87" i="4"/>
  <c r="V59" i="2"/>
  <c r="U51" i="4"/>
  <c r="T52" i="4"/>
  <c r="T82" i="4"/>
  <c r="AF48" i="4"/>
  <c r="T55" i="4"/>
  <c r="U61" i="2"/>
  <c r="Q67" i="4"/>
  <c r="R96" i="4"/>
  <c r="R64" i="4"/>
  <c r="U86" i="4"/>
  <c r="U82" i="4" s="1"/>
  <c r="U50" i="4"/>
  <c r="U52" i="4" s="1"/>
  <c r="U21" i="6" s="1"/>
  <c r="V58" i="2"/>
  <c r="AH85" i="4"/>
  <c r="AI57" i="2"/>
  <c r="R92" i="4"/>
  <c r="R60" i="4"/>
  <c r="N32" i="2"/>
  <c r="R89" i="4"/>
  <c r="R88" i="4" s="1"/>
  <c r="R57" i="4"/>
  <c r="V79" i="4"/>
  <c r="W47" i="2"/>
  <c r="V37" i="4"/>
  <c r="AG84" i="4"/>
  <c r="AH56" i="2"/>
  <c r="S17" i="6"/>
  <c r="T40" i="4"/>
  <c r="Q88" i="4"/>
  <c r="AH83" i="4"/>
  <c r="AI55" i="2"/>
  <c r="V84" i="4"/>
  <c r="W56" i="2"/>
  <c r="V48" i="4"/>
  <c r="U78" i="4"/>
  <c r="U36" i="4"/>
  <c r="V46" i="2"/>
  <c r="S20" i="6"/>
  <c r="S41" i="4"/>
  <c r="S6" i="6"/>
  <c r="S64" i="2"/>
  <c r="S63" i="2"/>
  <c r="S68" i="2"/>
  <c r="S72" i="2"/>
  <c r="S66" i="4" s="1"/>
  <c r="S69" i="2"/>
  <c r="S66" i="2"/>
  <c r="T9" i="3"/>
  <c r="T11" i="3" s="1"/>
  <c r="S70" i="2"/>
  <c r="S65" i="2"/>
  <c r="S67" i="2"/>
  <c r="S71" i="2"/>
  <c r="S65" i="4" s="1"/>
  <c r="Y14" i="2"/>
  <c r="X10" i="3"/>
  <c r="BV10" i="3" s="1"/>
  <c r="BV11" i="3" s="1"/>
  <c r="BW9" i="3" s="1"/>
  <c r="R90" i="4"/>
  <c r="R58" i="4"/>
  <c r="U76" i="4"/>
  <c r="V44" i="2"/>
  <c r="U34" i="4"/>
  <c r="U40" i="4" s="1"/>
  <c r="AG3" i="6"/>
  <c r="AH3" i="6" l="1"/>
  <c r="AI3" i="6" s="1"/>
  <c r="AJ3" i="6" s="1"/>
  <c r="BY33" i="6"/>
  <c r="BX33" i="6"/>
  <c r="V86" i="4"/>
  <c r="V82" i="4" s="1"/>
  <c r="V50" i="4"/>
  <c r="V52" i="4" s="1"/>
  <c r="V21" i="6" s="1"/>
  <c r="W58" i="2"/>
  <c r="O11" i="2"/>
  <c r="N13" i="3"/>
  <c r="N16" i="3"/>
  <c r="U20" i="6"/>
  <c r="U41" i="4"/>
  <c r="W79" i="4"/>
  <c r="W37" i="4"/>
  <c r="X47" i="2"/>
  <c r="V76" i="4"/>
  <c r="V75" i="4" s="1"/>
  <c r="W44" i="2"/>
  <c r="V34" i="4"/>
  <c r="V87" i="4"/>
  <c r="W59" i="2"/>
  <c r="V51" i="4"/>
  <c r="AH3" i="4"/>
  <c r="AG49" i="4"/>
  <c r="AG47" i="4"/>
  <c r="X83" i="4"/>
  <c r="X47" i="4"/>
  <c r="U75" i="4"/>
  <c r="S94" i="4"/>
  <c r="S62" i="4"/>
  <c r="O19" i="2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S90" i="4"/>
  <c r="S58" i="4"/>
  <c r="Q22" i="6"/>
  <c r="Q68" i="4"/>
  <c r="N73" i="4"/>
  <c r="N72" i="4" s="1"/>
  <c r="N97" i="4" s="1"/>
  <c r="N43" i="4" s="1"/>
  <c r="P29" i="2"/>
  <c r="O18" i="4"/>
  <c r="O19" i="4" s="1"/>
  <c r="O6" i="3"/>
  <c r="O73" i="4" s="1"/>
  <c r="O72" i="4" s="1"/>
  <c r="N71" i="4"/>
  <c r="N12" i="4"/>
  <c r="N20" i="4"/>
  <c r="N26" i="4"/>
  <c r="N28" i="4" s="1"/>
  <c r="AI85" i="4"/>
  <c r="AJ57" i="2"/>
  <c r="U55" i="4"/>
  <c r="V61" i="2"/>
  <c r="O9" i="4"/>
  <c r="P23" i="2"/>
  <c r="O10" i="4"/>
  <c r="W81" i="4"/>
  <c r="X49" i="2"/>
  <c r="AH3" i="8"/>
  <c r="AI3" i="8" s="1"/>
  <c r="AJ3" i="8" s="1"/>
  <c r="BW16" i="8" s="1"/>
  <c r="R67" i="4"/>
  <c r="S89" i="4"/>
  <c r="S57" i="4"/>
  <c r="N22" i="4"/>
  <c r="O32" i="2"/>
  <c r="Z14" i="2"/>
  <c r="Y10" i="3"/>
  <c r="S93" i="4"/>
  <c r="S61" i="4"/>
  <c r="T17" i="6"/>
  <c r="P51" i="2"/>
  <c r="S91" i="4"/>
  <c r="S59" i="4"/>
  <c r="V78" i="4"/>
  <c r="V36" i="4"/>
  <c r="W46" i="2"/>
  <c r="AG48" i="4"/>
  <c r="M26" i="6"/>
  <c r="M31" i="6"/>
  <c r="O25" i="4"/>
  <c r="P36" i="2"/>
  <c r="S92" i="4"/>
  <c r="S60" i="4"/>
  <c r="T21" i="6"/>
  <c r="V17" i="4"/>
  <c r="W28" i="2"/>
  <c r="S95" i="4"/>
  <c r="S63" i="4"/>
  <c r="W84" i="4"/>
  <c r="X56" i="2"/>
  <c r="W48" i="4"/>
  <c r="AI83" i="4"/>
  <c r="AJ55" i="2"/>
  <c r="O52" i="2"/>
  <c r="T20" i="6"/>
  <c r="T41" i="4"/>
  <c r="S96" i="4"/>
  <c r="S64" i="4"/>
  <c r="AH84" i="4"/>
  <c r="AI56" i="2"/>
  <c r="AH48" i="4"/>
  <c r="V77" i="4"/>
  <c r="W45" i="2"/>
  <c r="V35" i="4"/>
  <c r="AH3" i="2"/>
  <c r="T6" i="6"/>
  <c r="U9" i="3"/>
  <c r="U11" i="3" s="1"/>
  <c r="T71" i="2"/>
  <c r="T65" i="4" s="1"/>
  <c r="T64" i="2"/>
  <c r="T67" i="2"/>
  <c r="T66" i="2"/>
  <c r="T65" i="2"/>
  <c r="T69" i="2"/>
  <c r="T63" i="2"/>
  <c r="T68" i="2"/>
  <c r="T70" i="2"/>
  <c r="T72" i="2"/>
  <c r="T66" i="4" s="1"/>
  <c r="V80" i="4"/>
  <c r="W48" i="2"/>
  <c r="U6" i="6" l="1"/>
  <c r="U70" i="2"/>
  <c r="U69" i="2"/>
  <c r="U68" i="2"/>
  <c r="U65" i="2"/>
  <c r="U66" i="2"/>
  <c r="U63" i="2"/>
  <c r="V9" i="3"/>
  <c r="V11" i="3" s="1"/>
  <c r="U67" i="2"/>
  <c r="U71" i="2"/>
  <c r="U65" i="4" s="1"/>
  <c r="U64" i="2"/>
  <c r="U72" i="2"/>
  <c r="U66" i="4" s="1"/>
  <c r="X28" i="2"/>
  <c r="W17" i="4"/>
  <c r="U17" i="6"/>
  <c r="T94" i="4"/>
  <c r="T62" i="4"/>
  <c r="P52" i="2"/>
  <c r="S67" i="4"/>
  <c r="BX28" i="6"/>
  <c r="BV33" i="6"/>
  <c r="BY28" i="6"/>
  <c r="BW28" i="6"/>
  <c r="BZ28" i="6"/>
  <c r="BX29" i="6"/>
  <c r="BV29" i="6"/>
  <c r="BY29" i="6"/>
  <c r="BW33" i="6"/>
  <c r="BV28" i="6"/>
  <c r="BW29" i="6"/>
  <c r="BZ29" i="6"/>
  <c r="T89" i="4"/>
  <c r="T88" i="4" s="1"/>
  <c r="T57" i="4"/>
  <c r="T67" i="4" s="1"/>
  <c r="AI3" i="2"/>
  <c r="AJ3" i="2" s="1"/>
  <c r="BX43" i="2" s="1"/>
  <c r="N44" i="4"/>
  <c r="N16" i="6" s="1"/>
  <c r="S88" i="4"/>
  <c r="P18" i="4"/>
  <c r="P19" i="4" s="1"/>
  <c r="Q29" i="2"/>
  <c r="P6" i="3"/>
  <c r="V55" i="4"/>
  <c r="W61" i="2"/>
  <c r="X79" i="4"/>
  <c r="X37" i="4"/>
  <c r="Y47" i="2"/>
  <c r="N23" i="4"/>
  <c r="N30" i="4" s="1"/>
  <c r="AK57" i="2"/>
  <c r="AJ85" i="4"/>
  <c r="T95" i="4"/>
  <c r="T63" i="4"/>
  <c r="N7" i="6"/>
  <c r="N17" i="3"/>
  <c r="N7" i="4"/>
  <c r="W76" i="4"/>
  <c r="W34" i="4"/>
  <c r="X44" i="2"/>
  <c r="R22" i="6"/>
  <c r="R68" i="4"/>
  <c r="N29" i="4"/>
  <c r="T92" i="4"/>
  <c r="T60" i="4"/>
  <c r="AJ83" i="4"/>
  <c r="AK55" i="2"/>
  <c r="AI3" i="4"/>
  <c r="AI48" i="4" s="1"/>
  <c r="AH49" i="4"/>
  <c r="AH47" i="4"/>
  <c r="P11" i="2"/>
  <c r="O13" i="3"/>
  <c r="O16" i="3"/>
  <c r="Q23" i="2"/>
  <c r="P9" i="4"/>
  <c r="P10" i="4"/>
  <c r="W78" i="4"/>
  <c r="W36" i="4"/>
  <c r="X46" i="2"/>
  <c r="W80" i="4"/>
  <c r="X48" i="2"/>
  <c r="T96" i="4"/>
  <c r="T64" i="4"/>
  <c r="T91" i="4"/>
  <c r="T59" i="4"/>
  <c r="BV15" i="8"/>
  <c r="BV21" i="8"/>
  <c r="BX21" i="8"/>
  <c r="BZ28" i="8"/>
  <c r="BV17" i="8"/>
  <c r="BX29" i="8"/>
  <c r="BX17" i="8"/>
  <c r="BY35" i="8"/>
  <c r="BZ16" i="8"/>
  <c r="BW18" i="8"/>
  <c r="BV37" i="8"/>
  <c r="BZ34" i="8"/>
  <c r="BX38" i="8"/>
  <c r="BW21" i="8"/>
  <c r="BZ36" i="8"/>
  <c r="BY38" i="8"/>
  <c r="BX15" i="8"/>
  <c r="BW8" i="8"/>
  <c r="BV29" i="8"/>
  <c r="BY16" i="8"/>
  <c r="BW28" i="8"/>
  <c r="BW29" i="8"/>
  <c r="BV19" i="8"/>
  <c r="BV34" i="8"/>
  <c r="BY17" i="8"/>
  <c r="BW15" i="8"/>
  <c r="BV8" i="8"/>
  <c r="BY28" i="8"/>
  <c r="BX22" i="8"/>
  <c r="BZ35" i="8"/>
  <c r="BW35" i="8"/>
  <c r="BZ29" i="8"/>
  <c r="BX16" i="8"/>
  <c r="BZ37" i="8"/>
  <c r="BZ18" i="8"/>
  <c r="BX34" i="8"/>
  <c r="BW37" i="8"/>
  <c r="BW17" i="8"/>
  <c r="BZ21" i="8"/>
  <c r="BX35" i="8"/>
  <c r="BW19" i="8"/>
  <c r="BZ22" i="8"/>
  <c r="BW38" i="8"/>
  <c r="BX37" i="8"/>
  <c r="BY36" i="8"/>
  <c r="BY8" i="8"/>
  <c r="BZ15" i="8"/>
  <c r="BY22" i="8"/>
  <c r="BZ38" i="8"/>
  <c r="BV28" i="8"/>
  <c r="BX36" i="8"/>
  <c r="BV16" i="8"/>
  <c r="BZ23" i="8"/>
  <c r="BY15" i="8"/>
  <c r="BX19" i="8"/>
  <c r="BW22" i="8"/>
  <c r="BY18" i="8"/>
  <c r="BX23" i="8"/>
  <c r="BY34" i="8"/>
  <c r="BY39" i="8" s="1"/>
  <c r="BY29" i="8"/>
  <c r="BZ19" i="8"/>
  <c r="BV38" i="8"/>
  <c r="BX28" i="8"/>
  <c r="BX31" i="8" s="1"/>
  <c r="BY37" i="8"/>
  <c r="BV36" i="8"/>
  <c r="BV35" i="8"/>
  <c r="BY23" i="8"/>
  <c r="BV18" i="8"/>
  <c r="BZ17" i="8"/>
  <c r="BW34" i="8"/>
  <c r="BV22" i="8"/>
  <c r="BY19" i="8"/>
  <c r="BY21" i="8"/>
  <c r="BX8" i="8"/>
  <c r="BW23" i="8"/>
  <c r="BV23" i="8"/>
  <c r="BX18" i="8"/>
  <c r="BZ8" i="8"/>
  <c r="BW36" i="8"/>
  <c r="N10" i="6"/>
  <c r="W86" i="4"/>
  <c r="W82" i="4" s="1"/>
  <c r="X58" i="2"/>
  <c r="W50" i="4"/>
  <c r="W52" i="4" s="1"/>
  <c r="W21" i="6" s="1"/>
  <c r="Z10" i="3"/>
  <c r="AA14" i="2"/>
  <c r="O22" i="4"/>
  <c r="O23" i="4" s="1"/>
  <c r="P32" i="2"/>
  <c r="W77" i="4"/>
  <c r="X45" i="2"/>
  <c r="W35" i="4"/>
  <c r="Q51" i="2"/>
  <c r="T93" i="4"/>
  <c r="T61" i="4"/>
  <c r="Z19" i="2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P25" i="4"/>
  <c r="Q36" i="2"/>
  <c r="X81" i="4"/>
  <c r="Y49" i="2"/>
  <c r="W87" i="4"/>
  <c r="X59" i="2"/>
  <c r="W51" i="4"/>
  <c r="T90" i="4"/>
  <c r="T58" i="4"/>
  <c r="AI84" i="4"/>
  <c r="AJ56" i="2"/>
  <c r="X84" i="4"/>
  <c r="X48" i="4"/>
  <c r="M35" i="6"/>
  <c r="M32" i="6"/>
  <c r="O71" i="4"/>
  <c r="O97" i="4" s="1"/>
  <c r="O12" i="4"/>
  <c r="O10" i="6" s="1"/>
  <c r="O26" i="4"/>
  <c r="O28" i="4" s="1"/>
  <c r="O29" i="4" s="1"/>
  <c r="O19" i="6" s="1"/>
  <c r="O18" i="6" s="1"/>
  <c r="O20" i="4"/>
  <c r="V40" i="4"/>
  <c r="BZ33" i="6"/>
  <c r="O43" i="4" l="1"/>
  <c r="O44" i="4"/>
  <c r="P13" i="3"/>
  <c r="P22" i="4" s="1"/>
  <c r="Q11" i="2"/>
  <c r="P16" i="3"/>
  <c r="Y81" i="4"/>
  <c r="Z49" i="2"/>
  <c r="Q32" i="2"/>
  <c r="AK85" i="4"/>
  <c r="AL57" i="2"/>
  <c r="AK49" i="4"/>
  <c r="BW31" i="8"/>
  <c r="BZ43" i="2"/>
  <c r="BX19" i="2"/>
  <c r="BW43" i="2"/>
  <c r="BY10" i="2"/>
  <c r="BY43" i="2"/>
  <c r="BW10" i="2"/>
  <c r="BV43" i="2"/>
  <c r="BZ10" i="2"/>
  <c r="BY19" i="2"/>
  <c r="BX10" i="2"/>
  <c r="BV10" i="2"/>
  <c r="BZ19" i="2"/>
  <c r="U91" i="4"/>
  <c r="U59" i="4"/>
  <c r="X86" i="4"/>
  <c r="X82" i="4" s="1"/>
  <c r="BV82" i="4" s="1"/>
  <c r="X50" i="4"/>
  <c r="X52" i="4" s="1"/>
  <c r="X21" i="6" s="1"/>
  <c r="Y58" i="2"/>
  <c r="BW39" i="8"/>
  <c r="N13" i="4"/>
  <c r="N6" i="4"/>
  <c r="W55" i="4"/>
  <c r="X61" i="2"/>
  <c r="U94" i="4"/>
  <c r="U62" i="4"/>
  <c r="AA10" i="3"/>
  <c r="AB14" i="2"/>
  <c r="N15" i="6"/>
  <c r="P71" i="4"/>
  <c r="P12" i="4"/>
  <c r="P10" i="6" s="1"/>
  <c r="P73" i="4"/>
  <c r="P72" i="4" s="1"/>
  <c r="U96" i="4"/>
  <c r="U64" i="4"/>
  <c r="X80" i="4"/>
  <c r="Y48" i="2"/>
  <c r="W40" i="4"/>
  <c r="AK83" i="4"/>
  <c r="AL55" i="2"/>
  <c r="AK47" i="4"/>
  <c r="V17" i="6"/>
  <c r="R51" i="2"/>
  <c r="Q18" i="4"/>
  <c r="Q19" i="4" s="1"/>
  <c r="R29" i="2"/>
  <c r="Q6" i="3"/>
  <c r="Q73" i="4" s="1"/>
  <c r="Q72" i="4" s="1"/>
  <c r="Y28" i="2"/>
  <c r="X17" i="4"/>
  <c r="X78" i="4"/>
  <c r="Y46" i="2"/>
  <c r="X36" i="4"/>
  <c r="U93" i="4"/>
  <c r="U61" i="4"/>
  <c r="AJ3" i="4"/>
  <c r="AI47" i="4"/>
  <c r="AI49" i="4"/>
  <c r="V6" i="6"/>
  <c r="V67" i="2"/>
  <c r="V72" i="2"/>
  <c r="V66" i="4" s="1"/>
  <c r="V71" i="2"/>
  <c r="V65" i="4" s="1"/>
  <c r="V66" i="2"/>
  <c r="V63" i="2"/>
  <c r="V70" i="2"/>
  <c r="W9" i="3"/>
  <c r="W11" i="3" s="1"/>
  <c r="V65" i="2"/>
  <c r="V64" i="2"/>
  <c r="V68" i="2"/>
  <c r="V69" i="2"/>
  <c r="M6" i="8"/>
  <c r="M36" i="6"/>
  <c r="M8" i="7"/>
  <c r="BV19" i="2"/>
  <c r="Y37" i="4"/>
  <c r="Y79" i="4"/>
  <c r="Z47" i="2"/>
  <c r="U89" i="4"/>
  <c r="U57" i="4"/>
  <c r="BW19" i="2"/>
  <c r="BZ31" i="8"/>
  <c r="W75" i="4"/>
  <c r="U92" i="4"/>
  <c r="U60" i="4"/>
  <c r="AJ84" i="4"/>
  <c r="AJ48" i="4"/>
  <c r="AK56" i="2"/>
  <c r="U95" i="4"/>
  <c r="U63" i="4"/>
  <c r="BZ39" i="8"/>
  <c r="Q9" i="4"/>
  <c r="R23" i="2"/>
  <c r="Q10" i="4"/>
  <c r="P26" i="4"/>
  <c r="P28" i="4" s="1"/>
  <c r="P29" i="4" s="1"/>
  <c r="P19" i="6" s="1"/>
  <c r="P18" i="6" s="1"/>
  <c r="P20" i="4"/>
  <c r="R36" i="2"/>
  <c r="Q25" i="4"/>
  <c r="T22" i="6"/>
  <c r="T68" i="4"/>
  <c r="Q52" i="2"/>
  <c r="N53" i="4"/>
  <c r="V20" i="6"/>
  <c r="V41" i="4"/>
  <c r="BV39" i="8"/>
  <c r="O7" i="6"/>
  <c r="O7" i="4"/>
  <c r="O17" i="3"/>
  <c r="S22" i="6"/>
  <c r="S68" i="4"/>
  <c r="N19" i="6"/>
  <c r="X76" i="4"/>
  <c r="Y44" i="2"/>
  <c r="X34" i="4"/>
  <c r="X40" i="4" s="1"/>
  <c r="BY31" i="8"/>
  <c r="O30" i="4"/>
  <c r="O15" i="6"/>
  <c r="X87" i="4"/>
  <c r="Y59" i="2"/>
  <c r="X51" i="4"/>
  <c r="X77" i="4"/>
  <c r="Y45" i="2"/>
  <c r="X35" i="4"/>
  <c r="BV31" i="8"/>
  <c r="BX39" i="8"/>
  <c r="U90" i="4"/>
  <c r="U58" i="4"/>
  <c r="P23" i="4" l="1"/>
  <c r="R25" i="4"/>
  <c r="S36" i="2"/>
  <c r="O13" i="4"/>
  <c r="O6" i="4"/>
  <c r="O9" i="6" s="1"/>
  <c r="O11" i="6" s="1"/>
  <c r="O12" i="6" s="1"/>
  <c r="R11" i="2"/>
  <c r="Q13" i="3"/>
  <c r="Q22" i="4" s="1"/>
  <c r="Q16" i="3"/>
  <c r="Q20" i="4"/>
  <c r="Q26" i="4"/>
  <c r="Q28" i="4" s="1"/>
  <c r="Q29" i="4" s="1"/>
  <c r="Q19" i="6" s="1"/>
  <c r="Q18" i="6" s="1"/>
  <c r="AC14" i="2"/>
  <c r="AB10" i="3"/>
  <c r="AK84" i="4"/>
  <c r="AL56" i="2"/>
  <c r="AK48" i="4"/>
  <c r="V93" i="4"/>
  <c r="V61" i="4"/>
  <c r="Y86" i="4"/>
  <c r="Y82" i="4" s="1"/>
  <c r="Z58" i="2"/>
  <c r="Y50" i="4"/>
  <c r="Y52" i="4" s="1"/>
  <c r="BX45" i="4"/>
  <c r="BV45" i="4"/>
  <c r="BY45" i="4"/>
  <c r="BZ45" i="4"/>
  <c r="BW45" i="4"/>
  <c r="AJ49" i="4"/>
  <c r="AJ47" i="4"/>
  <c r="AM57" i="2"/>
  <c r="AL85" i="4"/>
  <c r="AL49" i="4"/>
  <c r="N9" i="6"/>
  <c r="V95" i="4"/>
  <c r="V63" i="4"/>
  <c r="Y76" i="4"/>
  <c r="Z44" i="2"/>
  <c r="Y34" i="4"/>
  <c r="V92" i="4"/>
  <c r="V60" i="4"/>
  <c r="Y78" i="4"/>
  <c r="Z46" i="2"/>
  <c r="Y36" i="4"/>
  <c r="AL83" i="4"/>
  <c r="AM55" i="2"/>
  <c r="AL47" i="4"/>
  <c r="Z81" i="4"/>
  <c r="AA49" i="2"/>
  <c r="M9" i="7"/>
  <c r="M20" i="7" s="1"/>
  <c r="Q97" i="4"/>
  <c r="Q43" i="4" s="1"/>
  <c r="P30" i="4"/>
  <c r="P15" i="6"/>
  <c r="S51" i="2"/>
  <c r="Q71" i="4"/>
  <c r="Q12" i="4"/>
  <c r="Q10" i="6" s="1"/>
  <c r="U67" i="4"/>
  <c r="V96" i="4"/>
  <c r="V64" i="4"/>
  <c r="Y87" i="4"/>
  <c r="Z59" i="2"/>
  <c r="Y51" i="4"/>
  <c r="Z28" i="2"/>
  <c r="Y17" i="4"/>
  <c r="Y80" i="4"/>
  <c r="Z48" i="2"/>
  <c r="R18" i="4"/>
  <c r="R19" i="4" s="1"/>
  <c r="S29" i="2"/>
  <c r="R6" i="3"/>
  <c r="R73" i="4" s="1"/>
  <c r="R72" i="4" s="1"/>
  <c r="X20" i="6"/>
  <c r="X41" i="4"/>
  <c r="V94" i="4"/>
  <c r="V62" i="4"/>
  <c r="V90" i="4"/>
  <c r="V58" i="4"/>
  <c r="X75" i="4"/>
  <c r="BV75" i="4" s="1"/>
  <c r="V91" i="4"/>
  <c r="V59" i="4"/>
  <c r="R9" i="4"/>
  <c r="S23" i="2"/>
  <c r="R10" i="4"/>
  <c r="W6" i="6"/>
  <c r="W72" i="2"/>
  <c r="W66" i="4" s="1"/>
  <c r="W63" i="2"/>
  <c r="W70" i="2"/>
  <c r="X9" i="3"/>
  <c r="X11" i="3" s="1"/>
  <c r="W65" i="2"/>
  <c r="W67" i="2"/>
  <c r="W64" i="2"/>
  <c r="W68" i="2"/>
  <c r="W69" i="2"/>
  <c r="W66" i="2"/>
  <c r="W71" i="2"/>
  <c r="W65" i="4" s="1"/>
  <c r="N18" i="6"/>
  <c r="R52" i="2"/>
  <c r="Q44" i="4"/>
  <c r="U88" i="4"/>
  <c r="X55" i="4"/>
  <c r="Y61" i="2"/>
  <c r="R32" i="2"/>
  <c r="W20" i="6"/>
  <c r="W41" i="4"/>
  <c r="P7" i="6"/>
  <c r="P7" i="4"/>
  <c r="P17" i="3"/>
  <c r="M14" i="8"/>
  <c r="M25" i="8" s="1"/>
  <c r="M41" i="8" s="1"/>
  <c r="M43" i="8" s="1"/>
  <c r="N23" i="6"/>
  <c r="Y77" i="4"/>
  <c r="Z45" i="2"/>
  <c r="Y35" i="4"/>
  <c r="Z79" i="4"/>
  <c r="AA47" i="2"/>
  <c r="Z37" i="4"/>
  <c r="V89" i="4"/>
  <c r="V57" i="4"/>
  <c r="P97" i="4"/>
  <c r="W17" i="6"/>
  <c r="O16" i="6"/>
  <c r="O23" i="6" s="1"/>
  <c r="O53" i="4"/>
  <c r="Q23" i="4" l="1"/>
  <c r="O25" i="6"/>
  <c r="O13" i="6"/>
  <c r="P13" i="4"/>
  <c r="P6" i="4"/>
  <c r="P9" i="6" s="1"/>
  <c r="P11" i="6" s="1"/>
  <c r="P12" i="6" s="1"/>
  <c r="Z76" i="4"/>
  <c r="AA44" i="2"/>
  <c r="Z34" i="4"/>
  <c r="U22" i="6"/>
  <c r="U68" i="4"/>
  <c r="Y75" i="4"/>
  <c r="AA81" i="4"/>
  <c r="AB49" i="2"/>
  <c r="S25" i="4"/>
  <c r="T36" i="2"/>
  <c r="T51" i="2"/>
  <c r="Q30" i="4"/>
  <c r="Q15" i="6"/>
  <c r="Z78" i="4"/>
  <c r="AA46" i="2"/>
  <c r="Z36" i="4"/>
  <c r="AM85" i="4"/>
  <c r="AN57" i="2"/>
  <c r="AM49" i="4"/>
  <c r="N42" i="8"/>
  <c r="M33" i="7"/>
  <c r="M35" i="7" s="1"/>
  <c r="M37" i="7" s="1"/>
  <c r="M38" i="7" s="1"/>
  <c r="W96" i="4"/>
  <c r="W64" i="4"/>
  <c r="W89" i="4"/>
  <c r="W57" i="4"/>
  <c r="V67" i="4"/>
  <c r="Y40" i="4"/>
  <c r="V88" i="4"/>
  <c r="R71" i="4"/>
  <c r="R97" i="4" s="1"/>
  <c r="R12" i="4"/>
  <c r="R26" i="4"/>
  <c r="R28" i="4" s="1"/>
  <c r="R20" i="4"/>
  <c r="AL84" i="4"/>
  <c r="AM56" i="2"/>
  <c r="AL48" i="4"/>
  <c r="W95" i="4"/>
  <c r="W63" i="4"/>
  <c r="Z80" i="4"/>
  <c r="AA48" i="2"/>
  <c r="W94" i="4"/>
  <c r="W62" i="4"/>
  <c r="Z77" i="4"/>
  <c r="AA45" i="2"/>
  <c r="Z35" i="4"/>
  <c r="W91" i="4"/>
  <c r="W59" i="4"/>
  <c r="Q7" i="6"/>
  <c r="Q7" i="4"/>
  <c r="Q17" i="3"/>
  <c r="Z86" i="4"/>
  <c r="AA58" i="2"/>
  <c r="Z50" i="4"/>
  <c r="P43" i="4"/>
  <c r="P44" i="4"/>
  <c r="Z87" i="4"/>
  <c r="AA59" i="2"/>
  <c r="Z51" i="4"/>
  <c r="S52" i="2"/>
  <c r="Q16" i="6"/>
  <c r="Q53" i="4"/>
  <c r="T29" i="2"/>
  <c r="S18" i="4"/>
  <c r="S19" i="4" s="1"/>
  <c r="S6" i="3"/>
  <c r="AA79" i="4"/>
  <c r="AA37" i="4"/>
  <c r="AB47" i="2"/>
  <c r="S9" i="4"/>
  <c r="T23" i="2"/>
  <c r="S10" i="4"/>
  <c r="Y55" i="4"/>
  <c r="Z61" i="2"/>
  <c r="W90" i="4"/>
  <c r="W58" i="4"/>
  <c r="AM83" i="4"/>
  <c r="AN55" i="2"/>
  <c r="AM47" i="4"/>
  <c r="N11" i="6"/>
  <c r="AD14" i="2"/>
  <c r="AC10" i="3"/>
  <c r="X6" i="6"/>
  <c r="BV6" i="6" s="1"/>
  <c r="X70" i="2"/>
  <c r="X63" i="2"/>
  <c r="X69" i="2"/>
  <c r="Y9" i="3"/>
  <c r="Y11" i="3" s="1"/>
  <c r="X67" i="2"/>
  <c r="X64" i="2"/>
  <c r="X72" i="2"/>
  <c r="X66" i="4" s="1"/>
  <c r="X68" i="2"/>
  <c r="X65" i="2"/>
  <c r="X66" i="2"/>
  <c r="X71" i="2"/>
  <c r="X65" i="4" s="1"/>
  <c r="Y21" i="6"/>
  <c r="S11" i="2"/>
  <c r="R13" i="3"/>
  <c r="R16" i="3"/>
  <c r="W92" i="4"/>
  <c r="W60" i="4"/>
  <c r="R22" i="4"/>
  <c r="R23" i="4" s="1"/>
  <c r="S32" i="2"/>
  <c r="X17" i="6"/>
  <c r="W93" i="4"/>
  <c r="W61" i="4"/>
  <c r="Z17" i="4"/>
  <c r="AA28" i="2"/>
  <c r="R43" i="4" l="1"/>
  <c r="R44" i="4"/>
  <c r="P13" i="6"/>
  <c r="X90" i="4"/>
  <c r="X58" i="4"/>
  <c r="AN83" i="4"/>
  <c r="AO55" i="2"/>
  <c r="AN47" i="4"/>
  <c r="AA87" i="4"/>
  <c r="AB59" i="2"/>
  <c r="AA51" i="4"/>
  <c r="R29" i="4"/>
  <c r="R7" i="6"/>
  <c r="R7" i="4"/>
  <c r="R17" i="3"/>
  <c r="X92" i="4"/>
  <c r="X60" i="4"/>
  <c r="Z55" i="4"/>
  <c r="AA61" i="2"/>
  <c r="X91" i="4"/>
  <c r="X59" i="4"/>
  <c r="X94" i="4"/>
  <c r="X62" i="4"/>
  <c r="U51" i="2"/>
  <c r="N12" i="6"/>
  <c r="S71" i="4"/>
  <c r="S12" i="4"/>
  <c r="S10" i="6" s="1"/>
  <c r="T52" i="2"/>
  <c r="AM84" i="4"/>
  <c r="AN56" i="2"/>
  <c r="AM48" i="4"/>
  <c r="R10" i="6"/>
  <c r="AA77" i="4"/>
  <c r="AB45" i="2"/>
  <c r="AA35" i="4"/>
  <c r="X89" i="4"/>
  <c r="X57" i="4"/>
  <c r="S20" i="4"/>
  <c r="S26" i="4"/>
  <c r="S28" i="4" s="1"/>
  <c r="S29" i="4" s="1"/>
  <c r="S19" i="6" s="1"/>
  <c r="S18" i="6" s="1"/>
  <c r="Z82" i="4"/>
  <c r="AA78" i="4"/>
  <c r="AB46" i="2"/>
  <c r="AA36" i="4"/>
  <c r="T32" i="2"/>
  <c r="X93" i="4"/>
  <c r="X61" i="4"/>
  <c r="R15" i="6"/>
  <c r="R30" i="4"/>
  <c r="AB79" i="4"/>
  <c r="AC47" i="2"/>
  <c r="AB37" i="4"/>
  <c r="AN85" i="4"/>
  <c r="AO57" i="2"/>
  <c r="AN49" i="4"/>
  <c r="S73" i="4"/>
  <c r="S72" i="4" s="1"/>
  <c r="T11" i="2"/>
  <c r="S13" i="3"/>
  <c r="S22" i="4" s="1"/>
  <c r="S23" i="4" s="1"/>
  <c r="S16" i="3"/>
  <c r="AA86" i="4"/>
  <c r="AA82" i="4" s="1"/>
  <c r="AA50" i="4"/>
  <c r="AA52" i="4" s="1"/>
  <c r="AA21" i="6" s="1"/>
  <c r="AB58" i="2"/>
  <c r="AA80" i="4"/>
  <c r="AB48" i="2"/>
  <c r="Y20" i="6"/>
  <c r="Y41" i="4"/>
  <c r="Z40" i="4"/>
  <c r="T9" i="4"/>
  <c r="U23" i="2"/>
  <c r="T10" i="4"/>
  <c r="X95" i="4"/>
  <c r="X63" i="4"/>
  <c r="P16" i="6"/>
  <c r="P23" i="6" s="1"/>
  <c r="P53" i="4"/>
  <c r="Z52" i="4"/>
  <c r="AA17" i="4"/>
  <c r="AB28" i="2"/>
  <c r="X96" i="4"/>
  <c r="X64" i="4"/>
  <c r="T18" i="4"/>
  <c r="T19" i="4" s="1"/>
  <c r="U29" i="2"/>
  <c r="T6" i="3"/>
  <c r="T73" i="4" s="1"/>
  <c r="T72" i="4" s="1"/>
  <c r="Q6" i="4"/>
  <c r="Q13" i="4"/>
  <c r="V22" i="6"/>
  <c r="V68" i="4"/>
  <c r="AA76" i="4"/>
  <c r="AB44" i="2"/>
  <c r="AA34" i="4"/>
  <c r="O26" i="6"/>
  <c r="O31" i="6"/>
  <c r="U36" i="2"/>
  <c r="T25" i="4"/>
  <c r="Y6" i="6"/>
  <c r="Y66" i="2"/>
  <c r="Z9" i="3"/>
  <c r="Z11" i="3" s="1"/>
  <c r="Y70" i="2"/>
  <c r="Y67" i="2"/>
  <c r="Y64" i="2"/>
  <c r="Y72" i="2"/>
  <c r="Y66" i="4" s="1"/>
  <c r="Y65" i="2"/>
  <c r="Y69" i="2"/>
  <c r="Y71" i="2"/>
  <c r="Y65" i="4" s="1"/>
  <c r="Y68" i="2"/>
  <c r="Y63" i="2"/>
  <c r="W67" i="4"/>
  <c r="Q23" i="6"/>
  <c r="Z75" i="4"/>
  <c r="AB81" i="4"/>
  <c r="AC49" i="2"/>
  <c r="AE14" i="2"/>
  <c r="AD10" i="3"/>
  <c r="Y17" i="6"/>
  <c r="W88" i="4"/>
  <c r="Y96" i="4" l="1"/>
  <c r="Y64" i="4"/>
  <c r="Q9" i="6"/>
  <c r="Y92" i="4"/>
  <c r="Y60" i="4"/>
  <c r="AB80" i="4"/>
  <c r="AC48" i="2"/>
  <c r="S15" i="6"/>
  <c r="S30" i="4"/>
  <c r="V36" i="2"/>
  <c r="U25" i="4"/>
  <c r="R19" i="6"/>
  <c r="R6" i="4"/>
  <c r="R9" i="6" s="1"/>
  <c r="R11" i="6" s="1"/>
  <c r="R12" i="6" s="1"/>
  <c r="R13" i="4"/>
  <c r="U52" i="2"/>
  <c r="X67" i="4"/>
  <c r="Y94" i="4"/>
  <c r="Y62" i="4"/>
  <c r="AF14" i="2"/>
  <c r="AE10" i="3"/>
  <c r="Z21" i="6"/>
  <c r="Z6" i="6"/>
  <c r="Z66" i="2"/>
  <c r="AA9" i="3"/>
  <c r="AA11" i="3" s="1"/>
  <c r="Z70" i="2"/>
  <c r="Z67" i="2"/>
  <c r="Z64" i="2"/>
  <c r="Z72" i="2"/>
  <c r="Z66" i="4" s="1"/>
  <c r="Z69" i="2"/>
  <c r="Z65" i="2"/>
  <c r="Z71" i="2"/>
  <c r="Z65" i="4" s="1"/>
  <c r="Z63" i="2"/>
  <c r="Z68" i="2"/>
  <c r="Z17" i="6"/>
  <c r="AC79" i="4"/>
  <c r="AD47" i="2"/>
  <c r="AC37" i="4"/>
  <c r="X88" i="4"/>
  <c r="AA40" i="4"/>
  <c r="U11" i="2"/>
  <c r="T13" i="3"/>
  <c r="T16" i="3"/>
  <c r="P25" i="6"/>
  <c r="AC81" i="4"/>
  <c r="AD49" i="2"/>
  <c r="AB78" i="4"/>
  <c r="AC46" i="2"/>
  <c r="AB36" i="4"/>
  <c r="R16" i="6"/>
  <c r="R53" i="4"/>
  <c r="AO85" i="4"/>
  <c r="AP57" i="2"/>
  <c r="AO49" i="4"/>
  <c r="AO83" i="4"/>
  <c r="AP55" i="2"/>
  <c r="AO47" i="4"/>
  <c r="AA55" i="4"/>
  <c r="AB61" i="2"/>
  <c r="W22" i="6"/>
  <c r="W68" i="4"/>
  <c r="Y89" i="4"/>
  <c r="Y57" i="4"/>
  <c r="AB86" i="4"/>
  <c r="AB82" i="4" s="1"/>
  <c r="AB50" i="4"/>
  <c r="AB52" i="4" s="1"/>
  <c r="AB21" i="6" s="1"/>
  <c r="AC58" i="2"/>
  <c r="N13" i="6"/>
  <c r="N25" i="6"/>
  <c r="O35" i="6"/>
  <c r="O32" i="6"/>
  <c r="U18" i="4"/>
  <c r="U19" i="4" s="1"/>
  <c r="V29" i="2"/>
  <c r="U6" i="3"/>
  <c r="U73" i="4" s="1"/>
  <c r="U72" i="4" s="1"/>
  <c r="AB77" i="4"/>
  <c r="AC45" i="2"/>
  <c r="AB35" i="4"/>
  <c r="Y95" i="4"/>
  <c r="Y63" i="4"/>
  <c r="T20" i="4"/>
  <c r="T26" i="4"/>
  <c r="T28" i="4" s="1"/>
  <c r="T29" i="4" s="1"/>
  <c r="T19" i="6" s="1"/>
  <c r="T18" i="6" s="1"/>
  <c r="V51" i="2"/>
  <c r="Y91" i="4"/>
  <c r="Y59" i="4"/>
  <c r="S7" i="6"/>
  <c r="S17" i="3"/>
  <c r="S7" i="4"/>
  <c r="AB76" i="4"/>
  <c r="AB75" i="4" s="1"/>
  <c r="AC44" i="2"/>
  <c r="AB34" i="4"/>
  <c r="AB40" i="4" s="1"/>
  <c r="T71" i="4"/>
  <c r="T97" i="4" s="1"/>
  <c r="T12" i="4"/>
  <c r="T10" i="6" s="1"/>
  <c r="T22" i="4"/>
  <c r="T23" i="4" s="1"/>
  <c r="U32" i="2"/>
  <c r="AA75" i="4"/>
  <c r="V23" i="2"/>
  <c r="U9" i="4"/>
  <c r="U10" i="4"/>
  <c r="AC28" i="2"/>
  <c r="AB17" i="4"/>
  <c r="AB87" i="4"/>
  <c r="AC59" i="2"/>
  <c r="AB51" i="4"/>
  <c r="Y90" i="4"/>
  <c r="Y58" i="4"/>
  <c r="Z20" i="6"/>
  <c r="Z41" i="4"/>
  <c r="S97" i="4"/>
  <c r="Y93" i="4"/>
  <c r="Y61" i="4"/>
  <c r="AN84" i="4"/>
  <c r="AO56" i="2"/>
  <c r="AN48" i="4"/>
  <c r="R13" i="6" l="1"/>
  <c r="T43" i="4"/>
  <c r="T44" i="4"/>
  <c r="Y88" i="4"/>
  <c r="AD79" i="4"/>
  <c r="AD37" i="4"/>
  <c r="AE47" i="2"/>
  <c r="Z96" i="4"/>
  <c r="Z64" i="4"/>
  <c r="S13" i="4"/>
  <c r="S6" i="4"/>
  <c r="AC78" i="4"/>
  <c r="AD46" i="2"/>
  <c r="AC36" i="4"/>
  <c r="AA6" i="6"/>
  <c r="AA63" i="2"/>
  <c r="AB9" i="3"/>
  <c r="AB11" i="3" s="1"/>
  <c r="AA67" i="2"/>
  <c r="AA64" i="2"/>
  <c r="AA71" i="2"/>
  <c r="AA65" i="4" s="1"/>
  <c r="AA70" i="2"/>
  <c r="AA72" i="2"/>
  <c r="AA66" i="4" s="1"/>
  <c r="AA69" i="2"/>
  <c r="AA66" i="2"/>
  <c r="AA68" i="2"/>
  <c r="AA65" i="2"/>
  <c r="AC17" i="4"/>
  <c r="AD28" i="2"/>
  <c r="U97" i="4"/>
  <c r="U43" i="4" s="1"/>
  <c r="Z92" i="4"/>
  <c r="Z60" i="4"/>
  <c r="AB20" i="6"/>
  <c r="AB41" i="4"/>
  <c r="X22" i="6"/>
  <c r="X68" i="4"/>
  <c r="BV88" i="4"/>
  <c r="U71" i="4"/>
  <c r="U12" i="4"/>
  <c r="U10" i="6" s="1"/>
  <c r="U20" i="4"/>
  <c r="U26" i="4"/>
  <c r="U28" i="4" s="1"/>
  <c r="U29" i="4" s="1"/>
  <c r="U19" i="6" s="1"/>
  <c r="U18" i="6" s="1"/>
  <c r="AA17" i="6"/>
  <c r="AO84" i="4"/>
  <c r="AP56" i="2"/>
  <c r="AO48" i="4"/>
  <c r="Z93" i="4"/>
  <c r="Z61" i="4"/>
  <c r="Q11" i="6"/>
  <c r="T15" i="6"/>
  <c r="T30" i="4"/>
  <c r="AC86" i="4"/>
  <c r="AC82" i="4" s="1"/>
  <c r="AD58" i="2"/>
  <c r="AC50" i="4"/>
  <c r="AC52" i="4" s="1"/>
  <c r="AC21" i="6" s="1"/>
  <c r="Z95" i="4"/>
  <c r="Z63" i="4"/>
  <c r="AA20" i="6"/>
  <c r="AA41" i="4"/>
  <c r="V25" i="4"/>
  <c r="W36" i="2"/>
  <c r="AC87" i="4"/>
  <c r="AD59" i="2"/>
  <c r="AC51" i="4"/>
  <c r="AC76" i="4"/>
  <c r="AD44" i="2"/>
  <c r="AC34" i="4"/>
  <c r="Z90" i="4"/>
  <c r="Z58" i="4"/>
  <c r="Y67" i="4"/>
  <c r="V52" i="2"/>
  <c r="V18" i="4"/>
  <c r="V19" i="4" s="1"/>
  <c r="W29" i="2"/>
  <c r="V6" i="3"/>
  <c r="V73" i="4" s="1"/>
  <c r="V72" i="4" s="1"/>
  <c r="AB55" i="4"/>
  <c r="AC61" i="2"/>
  <c r="W23" i="2"/>
  <c r="V9" i="4"/>
  <c r="V10" i="4"/>
  <c r="P31" i="6"/>
  <c r="P26" i="6"/>
  <c r="Z94" i="4"/>
  <c r="Z62" i="4"/>
  <c r="W51" i="2"/>
  <c r="O6" i="8"/>
  <c r="O14" i="8" s="1"/>
  <c r="O25" i="8" s="1"/>
  <c r="O41" i="8" s="1"/>
  <c r="O36" i="6"/>
  <c r="AP83" i="4"/>
  <c r="AQ55" i="2"/>
  <c r="AP47" i="4"/>
  <c r="T7" i="6"/>
  <c r="T7" i="4"/>
  <c r="T17" i="3"/>
  <c r="Z89" i="4"/>
  <c r="Z57" i="4"/>
  <c r="R18" i="6"/>
  <c r="R23" i="6" s="1"/>
  <c r="R25" i="6" s="1"/>
  <c r="AP85" i="4"/>
  <c r="AQ57" i="2"/>
  <c r="AP49" i="4"/>
  <c r="AC80" i="4"/>
  <c r="AD48" i="2"/>
  <c r="AD81" i="4"/>
  <c r="AE49" i="2"/>
  <c r="S43" i="4"/>
  <c r="S44" i="4"/>
  <c r="V32" i="2"/>
  <c r="U22" i="4"/>
  <c r="U23" i="4" s="1"/>
  <c r="N31" i="6"/>
  <c r="N26" i="6"/>
  <c r="AC77" i="4"/>
  <c r="AD45" i="2"/>
  <c r="AC35" i="4"/>
  <c r="V11" i="2"/>
  <c r="U13" i="3"/>
  <c r="U16" i="3"/>
  <c r="Z91" i="4"/>
  <c r="Z59" i="4"/>
  <c r="AF10" i="3"/>
  <c r="AG14" i="2"/>
  <c r="R26" i="6" l="1"/>
  <c r="R31" i="6"/>
  <c r="AE81" i="4"/>
  <c r="AF49" i="2"/>
  <c r="AB6" i="6"/>
  <c r="AB69" i="2"/>
  <c r="AC9" i="3"/>
  <c r="AC11" i="3" s="1"/>
  <c r="AB64" i="2"/>
  <c r="AB71" i="2"/>
  <c r="AB65" i="4" s="1"/>
  <c r="AB68" i="2"/>
  <c r="AB72" i="2"/>
  <c r="AB66" i="4" s="1"/>
  <c r="AB67" i="2"/>
  <c r="AB70" i="2"/>
  <c r="AB66" i="2"/>
  <c r="AB63" i="2"/>
  <c r="AB65" i="2"/>
  <c r="V71" i="4"/>
  <c r="V12" i="4"/>
  <c r="V10" i="6" s="1"/>
  <c r="U16" i="6"/>
  <c r="U53" i="4"/>
  <c r="AE79" i="4"/>
  <c r="AF47" i="2"/>
  <c r="AE37" i="4"/>
  <c r="AC40" i="4"/>
  <c r="AD17" i="4"/>
  <c r="AE28" i="2"/>
  <c r="AD77" i="4"/>
  <c r="AE45" i="2"/>
  <c r="AD35" i="4"/>
  <c r="AC75" i="4"/>
  <c r="V44" i="4"/>
  <c r="W52" i="2"/>
  <c r="U7" i="6"/>
  <c r="U7" i="4"/>
  <c r="U17" i="3"/>
  <c r="Z88" i="4"/>
  <c r="P32" i="6"/>
  <c r="P35" i="6"/>
  <c r="AA90" i="4"/>
  <c r="AA58" i="4"/>
  <c r="S16" i="6"/>
  <c r="S23" i="6" s="1"/>
  <c r="S53" i="4"/>
  <c r="Y22" i="6"/>
  <c r="Y68" i="4"/>
  <c r="AP84" i="4"/>
  <c r="AQ56" i="2"/>
  <c r="AP48" i="4"/>
  <c r="AA93" i="4"/>
  <c r="AA61" i="4"/>
  <c r="T6" i="4"/>
  <c r="T9" i="6" s="1"/>
  <c r="T11" i="6" s="1"/>
  <c r="T13" i="4"/>
  <c r="W9" i="4"/>
  <c r="X23" i="2"/>
  <c r="W10" i="4"/>
  <c r="AC55" i="4"/>
  <c r="AD61" i="2"/>
  <c r="AA94" i="4"/>
  <c r="AA62" i="4"/>
  <c r="X51" i="2"/>
  <c r="V97" i="4"/>
  <c r="V43" i="4" s="1"/>
  <c r="AD87" i="4"/>
  <c r="AE59" i="2"/>
  <c r="AD51" i="4"/>
  <c r="AA92" i="4"/>
  <c r="AA60" i="4"/>
  <c r="T16" i="6"/>
  <c r="T23" i="6" s="1"/>
  <c r="T53" i="4"/>
  <c r="W11" i="2"/>
  <c r="V13" i="3"/>
  <c r="V16" i="3"/>
  <c r="AA89" i="4"/>
  <c r="AA57" i="4"/>
  <c r="AQ83" i="4"/>
  <c r="AR55" i="2"/>
  <c r="AQ47" i="4"/>
  <c r="AD78" i="4"/>
  <c r="AD36" i="4"/>
  <c r="AE46" i="2"/>
  <c r="N32" i="6"/>
  <c r="N35" i="6"/>
  <c r="AQ85" i="4"/>
  <c r="AR57" i="2"/>
  <c r="AQ49" i="4"/>
  <c r="AH14" i="2"/>
  <c r="AG10" i="3"/>
  <c r="W18" i="4"/>
  <c r="W19" i="4" s="1"/>
  <c r="X29" i="2"/>
  <c r="W6" i="3"/>
  <c r="W73" i="4" s="1"/>
  <c r="W72" i="4" s="1"/>
  <c r="Q12" i="6"/>
  <c r="AA95" i="4"/>
  <c r="AA63" i="4"/>
  <c r="S9" i="6"/>
  <c r="AE44" i="2"/>
  <c r="AD76" i="4"/>
  <c r="AD34" i="4"/>
  <c r="AD80" i="4"/>
  <c r="AE48" i="2"/>
  <c r="AB17" i="6"/>
  <c r="V22" i="4"/>
  <c r="V23" i="4" s="1"/>
  <c r="W32" i="2"/>
  <c r="V26" i="4"/>
  <c r="V28" i="4" s="1"/>
  <c r="V29" i="4" s="1"/>
  <c r="V19" i="6" s="1"/>
  <c r="V18" i="6" s="1"/>
  <c r="V20" i="4"/>
  <c r="X36" i="2"/>
  <c r="W25" i="4"/>
  <c r="T12" i="6"/>
  <c r="AD86" i="4"/>
  <c r="AE58" i="2"/>
  <c r="AD50" i="4"/>
  <c r="U30" i="4"/>
  <c r="U15" i="6"/>
  <c r="AA91" i="4"/>
  <c r="AA59" i="4"/>
  <c r="AA96" i="4"/>
  <c r="AA64" i="4"/>
  <c r="Z67" i="4"/>
  <c r="U44" i="4"/>
  <c r="AC20" i="6" l="1"/>
  <c r="AC41" i="4"/>
  <c r="V15" i="6"/>
  <c r="V30" i="4"/>
  <c r="AB94" i="4"/>
  <c r="AB62" i="4"/>
  <c r="S11" i="6"/>
  <c r="W97" i="4"/>
  <c r="W43" i="4" s="1"/>
  <c r="V16" i="6"/>
  <c r="V53" i="4"/>
  <c r="AB95" i="4"/>
  <c r="AB63" i="4"/>
  <c r="X18" i="4"/>
  <c r="X19" i="4" s="1"/>
  <c r="Y29" i="2"/>
  <c r="X6" i="3"/>
  <c r="X73" i="4" s="1"/>
  <c r="X72" i="4" s="1"/>
  <c r="Y51" i="2"/>
  <c r="AE77" i="4"/>
  <c r="AF45" i="2"/>
  <c r="AE35" i="4"/>
  <c r="W20" i="4"/>
  <c r="W26" i="4"/>
  <c r="W28" i="4" s="1"/>
  <c r="W29" i="4" s="1"/>
  <c r="W19" i="6" s="1"/>
  <c r="W18" i="6" s="1"/>
  <c r="P6" i="8"/>
  <c r="P14" i="8" s="1"/>
  <c r="P25" i="8" s="1"/>
  <c r="P41" i="8" s="1"/>
  <c r="P36" i="6"/>
  <c r="AB91" i="4"/>
  <c r="AB59" i="4"/>
  <c r="AF81" i="4"/>
  <c r="AG49" i="2"/>
  <c r="X25" i="4"/>
  <c r="Y36" i="2"/>
  <c r="AE78" i="4"/>
  <c r="AF46" i="2"/>
  <c r="AE36" i="4"/>
  <c r="W71" i="4"/>
  <c r="W12" i="4"/>
  <c r="W10" i="6" s="1"/>
  <c r="Q25" i="6"/>
  <c r="Q13" i="6"/>
  <c r="U23" i="6"/>
  <c r="AD52" i="4"/>
  <c r="AD21" i="6" s="1"/>
  <c r="AE80" i="4"/>
  <c r="AF48" i="2"/>
  <c r="AA67" i="4"/>
  <c r="AE86" i="4"/>
  <c r="AF58" i="2"/>
  <c r="AE50" i="4"/>
  <c r="AE52" i="4" s="1"/>
  <c r="AE21" i="6" s="1"/>
  <c r="AA88" i="4"/>
  <c r="AE17" i="4"/>
  <c r="AF28" i="2"/>
  <c r="AB89" i="4"/>
  <c r="AB57" i="4"/>
  <c r="X32" i="2"/>
  <c r="R35" i="6"/>
  <c r="R32" i="6"/>
  <c r="X9" i="4"/>
  <c r="Y23" i="2"/>
  <c r="X10" i="4"/>
  <c r="AD55" i="4"/>
  <c r="AE61" i="2"/>
  <c r="AB96" i="4"/>
  <c r="AB64" i="4"/>
  <c r="Z22" i="6"/>
  <c r="Z68" i="4"/>
  <c r="N6" i="8"/>
  <c r="N36" i="6"/>
  <c r="N8" i="7"/>
  <c r="X52" i="2"/>
  <c r="AF79" i="4"/>
  <c r="AF37" i="4"/>
  <c r="AG47" i="2"/>
  <c r="AB90" i="4"/>
  <c r="AB58" i="4"/>
  <c r="AE87" i="4"/>
  <c r="AF59" i="2"/>
  <c r="AE51" i="4"/>
  <c r="AC6" i="6"/>
  <c r="AC70" i="2"/>
  <c r="AC71" i="2"/>
  <c r="AC65" i="4" s="1"/>
  <c r="AC68" i="2"/>
  <c r="AC65" i="2"/>
  <c r="AC72" i="2"/>
  <c r="AC66" i="4" s="1"/>
  <c r="AC67" i="2"/>
  <c r="AC64" i="2"/>
  <c r="AC69" i="2"/>
  <c r="AC66" i="2"/>
  <c r="AC63" i="2"/>
  <c r="AD9" i="3"/>
  <c r="AD11" i="3" s="1"/>
  <c r="AR83" i="4"/>
  <c r="AS55" i="2"/>
  <c r="AR47" i="4"/>
  <c r="AD82" i="4"/>
  <c r="AD40" i="4"/>
  <c r="AI14" i="2"/>
  <c r="AH10" i="3"/>
  <c r="V7" i="6"/>
  <c r="V7" i="4"/>
  <c r="V17" i="3"/>
  <c r="AB92" i="4"/>
  <c r="AB60" i="4"/>
  <c r="T25" i="6"/>
  <c r="T13" i="6"/>
  <c r="AD75" i="4"/>
  <c r="AQ84" i="4"/>
  <c r="AR56" i="2"/>
  <c r="AQ48" i="4"/>
  <c r="AE76" i="4"/>
  <c r="AE75" i="4" s="1"/>
  <c r="AF44" i="2"/>
  <c r="AE34" i="4"/>
  <c r="AE40" i="4" s="1"/>
  <c r="AR85" i="4"/>
  <c r="AS57" i="2"/>
  <c r="AR49" i="4"/>
  <c r="X11" i="2"/>
  <c r="W13" i="3"/>
  <c r="W22" i="4" s="1"/>
  <c r="W23" i="4" s="1"/>
  <c r="W16" i="3"/>
  <c r="AC17" i="6"/>
  <c r="U13" i="4"/>
  <c r="U6" i="4"/>
  <c r="U9" i="6" s="1"/>
  <c r="U11" i="6" s="1"/>
  <c r="U12" i="6" s="1"/>
  <c r="AB93" i="4"/>
  <c r="AB61" i="4"/>
  <c r="U25" i="6" l="1"/>
  <c r="U13" i="6"/>
  <c r="AC91" i="4"/>
  <c r="AC59" i="4"/>
  <c r="AF17" i="4"/>
  <c r="AG28" i="2"/>
  <c r="AE55" i="4"/>
  <c r="AF61" i="2"/>
  <c r="AD6" i="6"/>
  <c r="AD72" i="2"/>
  <c r="AD66" i="4" s="1"/>
  <c r="AD65" i="2"/>
  <c r="AD67" i="2"/>
  <c r="AD71" i="2"/>
  <c r="AD65" i="4" s="1"/>
  <c r="AD68" i="2"/>
  <c r="AD69" i="2"/>
  <c r="AD64" i="2"/>
  <c r="AD66" i="2"/>
  <c r="AD70" i="2"/>
  <c r="AD63" i="2"/>
  <c r="AE9" i="3"/>
  <c r="AE11" i="3" s="1"/>
  <c r="AJ14" i="2"/>
  <c r="AI10" i="3"/>
  <c r="W30" i="4"/>
  <c r="W15" i="6"/>
  <c r="Y52" i="2"/>
  <c r="W44" i="4"/>
  <c r="X71" i="4"/>
  <c r="BV71" i="4" s="1"/>
  <c r="X12" i="4"/>
  <c r="X10" i="6" s="1"/>
  <c r="O8" i="7"/>
  <c r="N9" i="7"/>
  <c r="N20" i="7" s="1"/>
  <c r="S12" i="6"/>
  <c r="AS83" i="4"/>
  <c r="AT55" i="2"/>
  <c r="AS47" i="4"/>
  <c r="AF86" i="4"/>
  <c r="AF50" i="4"/>
  <c r="AG58" i="2"/>
  <c r="AE82" i="4"/>
  <c r="Y25" i="4"/>
  <c r="Z36" i="2"/>
  <c r="Z51" i="2"/>
  <c r="W7" i="6"/>
  <c r="W17" i="3"/>
  <c r="W7" i="4"/>
  <c r="T31" i="6"/>
  <c r="T26" i="6"/>
  <c r="AC89" i="4"/>
  <c r="AC57" i="4"/>
  <c r="R6" i="8"/>
  <c r="R14" i="8" s="1"/>
  <c r="R25" i="8" s="1"/>
  <c r="R41" i="8" s="1"/>
  <c r="R36" i="6"/>
  <c r="AA22" i="6"/>
  <c r="AA68" i="4"/>
  <c r="AG81" i="4"/>
  <c r="AH49" i="2"/>
  <c r="BV72" i="4"/>
  <c r="X97" i="4"/>
  <c r="X44" i="4" s="1"/>
  <c r="AC96" i="4"/>
  <c r="AC64" i="4"/>
  <c r="AF78" i="4"/>
  <c r="AF36" i="4"/>
  <c r="AG46" i="2"/>
  <c r="N14" i="8"/>
  <c r="N25" i="8" s="1"/>
  <c r="N41" i="8" s="1"/>
  <c r="N43" i="8" s="1"/>
  <c r="AC92" i="4"/>
  <c r="AC60" i="4"/>
  <c r="AF87" i="4"/>
  <c r="AG59" i="2"/>
  <c r="AF51" i="4"/>
  <c r="AF80" i="4"/>
  <c r="AG48" i="2"/>
  <c r="Y18" i="4"/>
  <c r="Y19" i="4" s="1"/>
  <c r="Z29" i="2"/>
  <c r="Y6" i="3"/>
  <c r="V23" i="6"/>
  <c r="AF76" i="4"/>
  <c r="AF34" i="4"/>
  <c r="AG44" i="2"/>
  <c r="Y32" i="2"/>
  <c r="Y11" i="2"/>
  <c r="X13" i="3"/>
  <c r="X22" i="4" s="1"/>
  <c r="X23" i="4" s="1"/>
  <c r="X16" i="3"/>
  <c r="X26" i="4"/>
  <c r="X28" i="4" s="1"/>
  <c r="X29" i="4" s="1"/>
  <c r="X19" i="6" s="1"/>
  <c r="X18" i="6" s="1"/>
  <c r="X20" i="4"/>
  <c r="AE20" i="6"/>
  <c r="AE41" i="4"/>
  <c r="Q26" i="6"/>
  <c r="Q31" i="6"/>
  <c r="AC94" i="4"/>
  <c r="AC62" i="4"/>
  <c r="W16" i="6"/>
  <c r="W53" i="4"/>
  <c r="AD20" i="6"/>
  <c r="AD41" i="4"/>
  <c r="AD17" i="6"/>
  <c r="AF77" i="4"/>
  <c r="AG45" i="2"/>
  <c r="AF35" i="4"/>
  <c r="AR84" i="4"/>
  <c r="AS56" i="2"/>
  <c r="AR48" i="4"/>
  <c r="Z23" i="2"/>
  <c r="Y9" i="4"/>
  <c r="Y10" i="4"/>
  <c r="AC95" i="4"/>
  <c r="AC63" i="4"/>
  <c r="AC90" i="4"/>
  <c r="AC58" i="4"/>
  <c r="AS85" i="4"/>
  <c r="AT57" i="2"/>
  <c r="AS49" i="4"/>
  <c r="V6" i="4"/>
  <c r="V9" i="6" s="1"/>
  <c r="V11" i="6" s="1"/>
  <c r="V13" i="4"/>
  <c r="AC93" i="4"/>
  <c r="AC61" i="4"/>
  <c r="AB67" i="4"/>
  <c r="V12" i="6"/>
  <c r="AG79" i="4"/>
  <c r="AH47" i="2"/>
  <c r="AG37" i="4"/>
  <c r="AB88" i="4"/>
  <c r="AH81" i="4" l="1"/>
  <c r="AI49" i="2"/>
  <c r="P8" i="7"/>
  <c r="O9" i="7"/>
  <c r="O20" i="7" s="1"/>
  <c r="AF55" i="4"/>
  <c r="AG61" i="2"/>
  <c r="AB22" i="6"/>
  <c r="AB68" i="4"/>
  <c r="AA23" i="2"/>
  <c r="Z9" i="4"/>
  <c r="Z10" i="4"/>
  <c r="Y22" i="4"/>
  <c r="Z32" i="2"/>
  <c r="Z25" i="4"/>
  <c r="AA36" i="2"/>
  <c r="AG17" i="4"/>
  <c r="AH28" i="2"/>
  <c r="AF40" i="4"/>
  <c r="N33" i="7"/>
  <c r="N35" i="7" s="1"/>
  <c r="N37" i="7" s="1"/>
  <c r="N38" i="7" s="1"/>
  <c r="O42" i="8"/>
  <c r="O43" i="8" s="1"/>
  <c r="Y44" i="4"/>
  <c r="Z52" i="2"/>
  <c r="AS84" i="4"/>
  <c r="AS48" i="4"/>
  <c r="AT56" i="2"/>
  <c r="Q35" i="6"/>
  <c r="Q32" i="6"/>
  <c r="AF75" i="4"/>
  <c r="AG78" i="4"/>
  <c r="AH46" i="2"/>
  <c r="AG36" i="4"/>
  <c r="AC67" i="4"/>
  <c r="AG86" i="4"/>
  <c r="AG82" i="4" s="1"/>
  <c r="AG50" i="4"/>
  <c r="AG52" i="4" s="1"/>
  <c r="AG21" i="6" s="1"/>
  <c r="AH58" i="2"/>
  <c r="AD93" i="4"/>
  <c r="AD61" i="4"/>
  <c r="X7" i="4"/>
  <c r="X7" i="6"/>
  <c r="X17" i="3"/>
  <c r="S25" i="6"/>
  <c r="S13" i="6"/>
  <c r="Y13" i="3"/>
  <c r="Z11" i="2"/>
  <c r="Y16" i="3"/>
  <c r="AD90" i="4"/>
  <c r="AD58" i="4"/>
  <c r="AD95" i="4"/>
  <c r="AD63" i="4"/>
  <c r="AD94" i="4"/>
  <c r="AD62" i="4"/>
  <c r="AG76" i="4"/>
  <c r="AH44" i="2"/>
  <c r="AG34" i="4"/>
  <c r="AC88" i="4"/>
  <c r="AF52" i="4"/>
  <c r="AF21" i="6" s="1"/>
  <c r="W23" i="6"/>
  <c r="BV97" i="4"/>
  <c r="X43" i="4"/>
  <c r="AA51" i="2"/>
  <c r="V25" i="6"/>
  <c r="V13" i="6"/>
  <c r="AE17" i="6"/>
  <c r="AT85" i="4"/>
  <c r="AU57" i="2"/>
  <c r="AT49" i="4"/>
  <c r="Y73" i="4"/>
  <c r="Y72" i="4" s="1"/>
  <c r="Y97" i="4" s="1"/>
  <c r="Y43" i="4" s="1"/>
  <c r="AF82" i="4"/>
  <c r="AD91" i="4"/>
  <c r="AD59" i="4"/>
  <c r="W12" i="6"/>
  <c r="AH79" i="4"/>
  <c r="AH37" i="4"/>
  <c r="AI47" i="2"/>
  <c r="AD96" i="4"/>
  <c r="AD64" i="4"/>
  <c r="Y12" i="4"/>
  <c r="Y71" i="4"/>
  <c r="AG87" i="4"/>
  <c r="AH59" i="2"/>
  <c r="AG51" i="4"/>
  <c r="AD92" i="4"/>
  <c r="AD60" i="4"/>
  <c r="AG77" i="4"/>
  <c r="AH45" i="2"/>
  <c r="AG35" i="4"/>
  <c r="Z18" i="4"/>
  <c r="Z19" i="4" s="1"/>
  <c r="AA29" i="2"/>
  <c r="Z6" i="3"/>
  <c r="Z73" i="4" s="1"/>
  <c r="Z72" i="4" s="1"/>
  <c r="T32" i="6"/>
  <c r="T35" i="6"/>
  <c r="X15" i="6"/>
  <c r="X30" i="4"/>
  <c r="Y26" i="4"/>
  <c r="Y28" i="4" s="1"/>
  <c r="Y20" i="4"/>
  <c r="W6" i="4"/>
  <c r="W9" i="6" s="1"/>
  <c r="W11" i="6" s="1"/>
  <c r="W13" i="4"/>
  <c r="AT83" i="4"/>
  <c r="AU55" i="2"/>
  <c r="AT47" i="4"/>
  <c r="AK14" i="2"/>
  <c r="AJ10" i="3"/>
  <c r="U26" i="6"/>
  <c r="U31" i="6"/>
  <c r="AD89" i="4"/>
  <c r="AD57" i="4"/>
  <c r="AG80" i="4"/>
  <c r="AH48" i="2"/>
  <c r="AE6" i="6"/>
  <c r="AF9" i="3"/>
  <c r="AF11" i="3" s="1"/>
  <c r="AE64" i="2"/>
  <c r="AE68" i="2"/>
  <c r="AE65" i="2"/>
  <c r="AE69" i="2"/>
  <c r="AE66" i="2"/>
  <c r="AE63" i="2"/>
  <c r="AE70" i="2"/>
  <c r="AE67" i="2"/>
  <c r="AE72" i="2"/>
  <c r="AE66" i="4" s="1"/>
  <c r="AE71" i="2"/>
  <c r="AE65" i="4" s="1"/>
  <c r="AF6" i="6" l="1"/>
  <c r="AF68" i="2"/>
  <c r="AG9" i="3"/>
  <c r="AG11" i="3" s="1"/>
  <c r="AF65" i="2"/>
  <c r="AF72" i="2"/>
  <c r="AF66" i="4" s="1"/>
  <c r="AF69" i="2"/>
  <c r="AF64" i="2"/>
  <c r="AF66" i="2"/>
  <c r="AF63" i="2"/>
  <c r="AF71" i="2"/>
  <c r="AF65" i="4" s="1"/>
  <c r="AF70" i="2"/>
  <c r="AF67" i="2"/>
  <c r="AH77" i="4"/>
  <c r="AI45" i="2"/>
  <c r="AH35" i="4"/>
  <c r="Y23" i="4"/>
  <c r="W25" i="6"/>
  <c r="W13" i="6"/>
  <c r="Y15" i="6"/>
  <c r="Y30" i="4"/>
  <c r="Y7" i="6"/>
  <c r="Y17" i="3"/>
  <c r="Y7" i="4"/>
  <c r="AC22" i="6"/>
  <c r="AC68" i="4"/>
  <c r="AB23" i="2"/>
  <c r="AA9" i="4"/>
  <c r="AA10" i="4"/>
  <c r="AA11" i="2"/>
  <c r="Z13" i="3"/>
  <c r="Z16" i="3"/>
  <c r="AE96" i="4"/>
  <c r="AE64" i="4"/>
  <c r="AH78" i="4"/>
  <c r="AH36" i="4"/>
  <c r="AI46" i="2"/>
  <c r="AE89" i="4"/>
  <c r="AE88" i="4" s="1"/>
  <c r="AE57" i="4"/>
  <c r="AD88" i="4"/>
  <c r="AG40" i="4"/>
  <c r="AG55" i="4"/>
  <c r="AH61" i="2"/>
  <c r="AE95" i="4"/>
  <c r="AE63" i="4"/>
  <c r="U32" i="6"/>
  <c r="U35" i="6"/>
  <c r="AU85" i="4"/>
  <c r="AV57" i="2"/>
  <c r="AU49" i="4"/>
  <c r="AH76" i="4"/>
  <c r="AI44" i="2"/>
  <c r="AH34" i="4"/>
  <c r="AF17" i="6"/>
  <c r="Y10" i="6"/>
  <c r="AG75" i="4"/>
  <c r="Q6" i="8"/>
  <c r="Q36" i="6"/>
  <c r="AE91" i="4"/>
  <c r="AE59" i="4"/>
  <c r="Z97" i="4"/>
  <c r="Z43" i="4" s="1"/>
  <c r="X6" i="4"/>
  <c r="X9" i="6" s="1"/>
  <c r="X11" i="6" s="1"/>
  <c r="X12" i="6" s="1"/>
  <c r="X13" i="4"/>
  <c r="AT84" i="4"/>
  <c r="AU56" i="2"/>
  <c r="AT48" i="4"/>
  <c r="P9" i="7"/>
  <c r="P20" i="7" s="1"/>
  <c r="Q8" i="7"/>
  <c r="Z71" i="4"/>
  <c r="Z12" i="4"/>
  <c r="Z10" i="6" s="1"/>
  <c r="X16" i="6"/>
  <c r="X23" i="6" s="1"/>
  <c r="X53" i="4"/>
  <c r="Z44" i="4"/>
  <c r="AA52" i="2"/>
  <c r="AE93" i="4"/>
  <c r="AE61" i="4"/>
  <c r="S31" i="6"/>
  <c r="S26" i="6"/>
  <c r="AH17" i="4"/>
  <c r="AI28" i="2"/>
  <c r="AE94" i="4"/>
  <c r="AE62" i="4"/>
  <c r="AA18" i="4"/>
  <c r="AA19" i="4" s="1"/>
  <c r="AB29" i="2"/>
  <c r="AA6" i="3"/>
  <c r="AA25" i="4"/>
  <c r="AB36" i="2"/>
  <c r="AI81" i="4"/>
  <c r="AJ49" i="2"/>
  <c r="Y29" i="4"/>
  <c r="AD67" i="4"/>
  <c r="AH87" i="4"/>
  <c r="AI59" i="2"/>
  <c r="AH51" i="4"/>
  <c r="AB51" i="2"/>
  <c r="BV11" i="6"/>
  <c r="AH80" i="4"/>
  <c r="AI48" i="2"/>
  <c r="O33" i="7"/>
  <c r="O35" i="7" s="1"/>
  <c r="O37" i="7" s="1"/>
  <c r="O38" i="7" s="1"/>
  <c r="P42" i="8"/>
  <c r="P43" i="8" s="1"/>
  <c r="Y16" i="6"/>
  <c r="Y53" i="4"/>
  <c r="AE92" i="4"/>
  <c r="AE60" i="4"/>
  <c r="AF20" i="6"/>
  <c r="AF41" i="4"/>
  <c r="T6" i="8"/>
  <c r="T14" i="8" s="1"/>
  <c r="T25" i="8" s="1"/>
  <c r="T41" i="8" s="1"/>
  <c r="T36" i="6"/>
  <c r="AL14" i="2"/>
  <c r="AK10" i="3"/>
  <c r="Z26" i="4"/>
  <c r="Z28" i="4" s="1"/>
  <c r="Z29" i="4" s="1"/>
  <c r="Z19" i="6" s="1"/>
  <c r="Z18" i="6" s="1"/>
  <c r="Z20" i="4"/>
  <c r="AI79" i="4"/>
  <c r="AI37" i="4"/>
  <c r="AJ47" i="2"/>
  <c r="AE90" i="4"/>
  <c r="AE58" i="4"/>
  <c r="AU83" i="4"/>
  <c r="AV55" i="2"/>
  <c r="AU47" i="4"/>
  <c r="V31" i="6"/>
  <c r="V26" i="6"/>
  <c r="AH86" i="4"/>
  <c r="AH50" i="4"/>
  <c r="AI58" i="2"/>
  <c r="Z22" i="4"/>
  <c r="Z23" i="4" s="1"/>
  <c r="AA32" i="2"/>
  <c r="X13" i="6" l="1"/>
  <c r="X25" i="6"/>
  <c r="AC29" i="2"/>
  <c r="AB18" i="4"/>
  <c r="AB19" i="4" s="1"/>
  <c r="AB6" i="3"/>
  <c r="AB73" i="4" s="1"/>
  <c r="AB72" i="4" s="1"/>
  <c r="AI78" i="4"/>
  <c r="AI36" i="4"/>
  <c r="AJ46" i="2"/>
  <c r="AI17" i="4"/>
  <c r="AJ28" i="2"/>
  <c r="AB32" i="2"/>
  <c r="AF90" i="4"/>
  <c r="AF58" i="4"/>
  <c r="AV83" i="4"/>
  <c r="AW55" i="2"/>
  <c r="AV47" i="4"/>
  <c r="Y13" i="4"/>
  <c r="Y6" i="4"/>
  <c r="Z7" i="6"/>
  <c r="Z7" i="4"/>
  <c r="Z17" i="3"/>
  <c r="AF91" i="4"/>
  <c r="AF59" i="4"/>
  <c r="AI76" i="4"/>
  <c r="AJ44" i="2"/>
  <c r="AI34" i="4"/>
  <c r="AE67" i="4"/>
  <c r="AA73" i="4"/>
  <c r="AA72" i="4" s="1"/>
  <c r="AA97" i="4" s="1"/>
  <c r="AA43" i="4" s="1"/>
  <c r="AF93" i="4"/>
  <c r="AF61" i="4"/>
  <c r="Z16" i="6"/>
  <c r="Z53" i="4"/>
  <c r="AF96" i="4"/>
  <c r="AF64" i="4"/>
  <c r="AJ79" i="4"/>
  <c r="AK47" i="2"/>
  <c r="AJ37" i="4"/>
  <c r="AF89" i="4"/>
  <c r="AF57" i="4"/>
  <c r="AI87" i="4"/>
  <c r="AJ59" i="2"/>
  <c r="AI51" i="4"/>
  <c r="Q9" i="7"/>
  <c r="Q20" i="7" s="1"/>
  <c r="R8" i="7"/>
  <c r="AF92" i="4"/>
  <c r="AF60" i="4"/>
  <c r="Q14" i="8"/>
  <c r="Q25" i="8" s="1"/>
  <c r="Q41" i="8" s="1"/>
  <c r="Z30" i="4"/>
  <c r="Z15" i="6"/>
  <c r="Z23" i="6" s="1"/>
  <c r="AD22" i="6"/>
  <c r="AD68" i="4"/>
  <c r="AF95" i="4"/>
  <c r="AF63" i="4"/>
  <c r="Y19" i="6"/>
  <c r="AH55" i="4"/>
  <c r="AI61" i="2"/>
  <c r="AH52" i="4"/>
  <c r="AH21" i="6" s="1"/>
  <c r="P33" i="7"/>
  <c r="P35" i="7" s="1"/>
  <c r="P37" i="7" s="1"/>
  <c r="P38" i="7" s="1"/>
  <c r="Q42" i="8"/>
  <c r="Q43" i="8" s="1"/>
  <c r="S32" i="6"/>
  <c r="S35" i="6"/>
  <c r="AG17" i="6"/>
  <c r="AB11" i="2"/>
  <c r="AA13" i="3"/>
  <c r="AA22" i="4" s="1"/>
  <c r="AA16" i="3"/>
  <c r="AJ81" i="4"/>
  <c r="AK49" i="2"/>
  <c r="AG20" i="6"/>
  <c r="AG41" i="4"/>
  <c r="AA71" i="4"/>
  <c r="AA12" i="4"/>
  <c r="AA10" i="6" s="1"/>
  <c r="AG6" i="6"/>
  <c r="AG71" i="2"/>
  <c r="AG65" i="4" s="1"/>
  <c r="AG65" i="2"/>
  <c r="AG72" i="2"/>
  <c r="AG66" i="4" s="1"/>
  <c r="AG69" i="2"/>
  <c r="AG66" i="2"/>
  <c r="AG63" i="2"/>
  <c r="AG70" i="2"/>
  <c r="AG67" i="2"/>
  <c r="AG64" i="2"/>
  <c r="AH9" i="3"/>
  <c r="AH11" i="3" s="1"/>
  <c r="AG68" i="2"/>
  <c r="AH75" i="4"/>
  <c r="AC51" i="2"/>
  <c r="U6" i="8"/>
  <c r="U14" i="8" s="1"/>
  <c r="U25" i="8" s="1"/>
  <c r="U41" i="8" s="1"/>
  <c r="U36" i="6"/>
  <c r="AI86" i="4"/>
  <c r="AI50" i="4"/>
  <c r="AJ58" i="2"/>
  <c r="AH82" i="4"/>
  <c r="AM14" i="2"/>
  <c r="AL10" i="3"/>
  <c r="AA26" i="4"/>
  <c r="AA28" i="4" s="1"/>
  <c r="AA29" i="4" s="1"/>
  <c r="AA19" i="6" s="1"/>
  <c r="AA18" i="6" s="1"/>
  <c r="AA20" i="4"/>
  <c r="AV85" i="4"/>
  <c r="AW57" i="2"/>
  <c r="AV49" i="4"/>
  <c r="W31" i="6"/>
  <c r="W26" i="6"/>
  <c r="V35" i="6"/>
  <c r="V32" i="6"/>
  <c r="AI80" i="4"/>
  <c r="AJ48" i="2"/>
  <c r="AB25" i="4"/>
  <c r="AC36" i="2"/>
  <c r="AB52" i="2"/>
  <c r="AU84" i="4"/>
  <c r="AV56" i="2"/>
  <c r="AU48" i="4"/>
  <c r="AH40" i="4"/>
  <c r="AC23" i="2"/>
  <c r="AB9" i="4"/>
  <c r="AB10" i="4"/>
  <c r="AI77" i="4"/>
  <c r="AJ45" i="2"/>
  <c r="AI35" i="4"/>
  <c r="AF94" i="4"/>
  <c r="AF62" i="4"/>
  <c r="AA23" i="4" l="1"/>
  <c r="AC25" i="4"/>
  <c r="AD36" i="2"/>
  <c r="AG91" i="4"/>
  <c r="AG59" i="4"/>
  <c r="AG94" i="4"/>
  <c r="AG62" i="4"/>
  <c r="AJ76" i="4"/>
  <c r="AK44" i="2"/>
  <c r="AJ34" i="4"/>
  <c r="AI52" i="4"/>
  <c r="AI21" i="6" s="1"/>
  <c r="AG90" i="4"/>
  <c r="AG58" i="4"/>
  <c r="AK81" i="4"/>
  <c r="AL49" i="2"/>
  <c r="AI75" i="4"/>
  <c r="AB20" i="4"/>
  <c r="AB26" i="4"/>
  <c r="AB28" i="4" s="1"/>
  <c r="AB29" i="4" s="1"/>
  <c r="AB19" i="6" s="1"/>
  <c r="AB18" i="6" s="1"/>
  <c r="AD51" i="2"/>
  <c r="AJ87" i="4"/>
  <c r="AK59" i="2"/>
  <c r="AJ51" i="4"/>
  <c r="V6" i="8"/>
  <c r="V14" i="8" s="1"/>
  <c r="V25" i="8" s="1"/>
  <c r="V41" i="8" s="1"/>
  <c r="V36" i="6"/>
  <c r="W35" i="6"/>
  <c r="W32" i="6"/>
  <c r="AI82" i="4"/>
  <c r="AG93" i="4"/>
  <c r="AG61" i="4"/>
  <c r="AI55" i="4"/>
  <c r="AJ61" i="2"/>
  <c r="AD29" i="2"/>
  <c r="AC18" i="4"/>
  <c r="AC19" i="4" s="1"/>
  <c r="AC6" i="3"/>
  <c r="AC73" i="4" s="1"/>
  <c r="AC72" i="4" s="1"/>
  <c r="Y9" i="6"/>
  <c r="AB71" i="4"/>
  <c r="AB12" i="4"/>
  <c r="AB10" i="6" s="1"/>
  <c r="AE22" i="6"/>
  <c r="AE68" i="4"/>
  <c r="R42" i="8"/>
  <c r="R43" i="8" s="1"/>
  <c r="Q33" i="7"/>
  <c r="Q35" i="7" s="1"/>
  <c r="Q37" i="7" s="1"/>
  <c r="Q38" i="7" s="1"/>
  <c r="AW83" i="4"/>
  <c r="AX55" i="2"/>
  <c r="AW47" i="4"/>
  <c r="AA7" i="6"/>
  <c r="AA17" i="3"/>
  <c r="AA7" i="4"/>
  <c r="AF67" i="4"/>
  <c r="AI40" i="4"/>
  <c r="AG92" i="4"/>
  <c r="AG60" i="4"/>
  <c r="X31" i="6"/>
  <c r="X26" i="6"/>
  <c r="AJ77" i="4"/>
  <c r="AK45" i="2"/>
  <c r="AJ35" i="4"/>
  <c r="AJ80" i="4"/>
  <c r="AK48" i="2"/>
  <c r="S6" i="8"/>
  <c r="S36" i="6"/>
  <c r="AN14" i="2"/>
  <c r="AM10" i="3"/>
  <c r="AJ78" i="4"/>
  <c r="AK46" i="2"/>
  <c r="AJ36" i="4"/>
  <c r="AF88" i="4"/>
  <c r="AD23" i="2"/>
  <c r="AC9" i="4"/>
  <c r="AC10" i="4"/>
  <c r="AH6" i="6"/>
  <c r="AI9" i="3"/>
  <c r="AI11" i="3" s="1"/>
  <c r="AH71" i="2"/>
  <c r="AH65" i="4" s="1"/>
  <c r="AH64" i="2"/>
  <c r="AH63" i="2"/>
  <c r="AH72" i="2"/>
  <c r="AH66" i="4" s="1"/>
  <c r="AH69" i="2"/>
  <c r="AH66" i="2"/>
  <c r="AH67" i="2"/>
  <c r="AH68" i="2"/>
  <c r="AH65" i="2"/>
  <c r="AH70" i="2"/>
  <c r="AH20" i="6"/>
  <c r="AH41" i="4"/>
  <c r="AJ86" i="4"/>
  <c r="AK58" i="2"/>
  <c r="AJ50" i="4"/>
  <c r="AJ52" i="4" s="1"/>
  <c r="AJ21" i="6" s="1"/>
  <c r="AK79" i="4"/>
  <c r="AK37" i="4"/>
  <c r="AL47" i="2"/>
  <c r="AB97" i="4"/>
  <c r="AB43" i="4" s="1"/>
  <c r="AV84" i="4"/>
  <c r="AW56" i="2"/>
  <c r="AV48" i="4"/>
  <c r="AG96" i="4"/>
  <c r="AG64" i="4"/>
  <c r="AH17" i="6"/>
  <c r="AW85" i="4"/>
  <c r="AX57" i="2"/>
  <c r="AW49" i="4"/>
  <c r="AG89" i="4"/>
  <c r="AG57" i="4"/>
  <c r="AB22" i="4"/>
  <c r="AB23" i="4" s="1"/>
  <c r="AC32" i="2"/>
  <c r="AC52" i="2"/>
  <c r="AA44" i="4"/>
  <c r="AA16" i="6" s="1"/>
  <c r="AA30" i="4"/>
  <c r="AA15" i="6"/>
  <c r="AG95" i="4"/>
  <c r="AG63" i="4"/>
  <c r="AB13" i="3"/>
  <c r="AC11" i="2"/>
  <c r="AB16" i="3"/>
  <c r="Y18" i="6"/>
  <c r="R9" i="7"/>
  <c r="R20" i="7" s="1"/>
  <c r="S8" i="7"/>
  <c r="Z6" i="4"/>
  <c r="Z9" i="6" s="1"/>
  <c r="Z11" i="6" s="1"/>
  <c r="Z12" i="6" s="1"/>
  <c r="Z13" i="4"/>
  <c r="AJ17" i="4"/>
  <c r="AK28" i="2"/>
  <c r="Z13" i="6" l="1"/>
  <c r="Z25" i="6"/>
  <c r="Y23" i="6"/>
  <c r="AG67" i="4"/>
  <c r="AL79" i="4"/>
  <c r="AL37" i="4"/>
  <c r="AM47" i="2"/>
  <c r="AK78" i="4"/>
  <c r="AK36" i="4"/>
  <c r="AL46" i="2"/>
  <c r="AI20" i="6"/>
  <c r="AI41" i="4"/>
  <c r="AL81" i="4"/>
  <c r="AM49" i="2"/>
  <c r="AX85" i="4"/>
  <c r="AY57" i="2"/>
  <c r="AX49" i="4"/>
  <c r="AH89" i="4"/>
  <c r="AH57" i="4"/>
  <c r="AF22" i="6"/>
  <c r="AF68" i="4"/>
  <c r="AA23" i="6"/>
  <c r="AK86" i="4"/>
  <c r="AK50" i="4"/>
  <c r="AK52" i="4" s="1"/>
  <c r="AL58" i="2"/>
  <c r="AH90" i="4"/>
  <c r="AH58" i="4"/>
  <c r="AO14" i="2"/>
  <c r="AN10" i="3"/>
  <c r="AA53" i="4"/>
  <c r="AL28" i="2"/>
  <c r="AK17" i="4"/>
  <c r="AJ82" i="4"/>
  <c r="BW82" i="4" s="1"/>
  <c r="AH92" i="4"/>
  <c r="AH60" i="4"/>
  <c r="AD11" i="2"/>
  <c r="AC13" i="3"/>
  <c r="AC16" i="3"/>
  <c r="Y11" i="6"/>
  <c r="AD25" i="4"/>
  <c r="AE36" i="2"/>
  <c r="AB16" i="6"/>
  <c r="S42" i="8"/>
  <c r="R33" i="7"/>
  <c r="R35" i="7" s="1"/>
  <c r="R37" i="7" s="1"/>
  <c r="R38" i="7" s="1"/>
  <c r="AK87" i="4"/>
  <c r="AL59" i="2"/>
  <c r="AK51" i="4"/>
  <c r="AJ40" i="4"/>
  <c r="W6" i="8"/>
  <c r="W14" i="8" s="1"/>
  <c r="W25" i="8" s="1"/>
  <c r="W41" i="8" s="1"/>
  <c r="W36" i="6"/>
  <c r="S14" i="8"/>
  <c r="S25" i="8" s="1"/>
  <c r="S41" i="8" s="1"/>
  <c r="AD52" i="2"/>
  <c r="AJ75" i="4"/>
  <c r="BW75" i="4" s="1"/>
  <c r="AB30" i="4"/>
  <c r="AB15" i="6"/>
  <c r="AG88" i="4"/>
  <c r="AK80" i="4"/>
  <c r="AL48" i="2"/>
  <c r="S9" i="7"/>
  <c r="S20" i="7" s="1"/>
  <c r="T8" i="7"/>
  <c r="AH96" i="4"/>
  <c r="AH64" i="4"/>
  <c r="AA12" i="6"/>
  <c r="AB44" i="4"/>
  <c r="AB53" i="4" s="1"/>
  <c r="AH91" i="4"/>
  <c r="AH59" i="4"/>
  <c r="AK77" i="4"/>
  <c r="AL45" i="2"/>
  <c r="AK35" i="4"/>
  <c r="AJ55" i="4"/>
  <c r="AK61" i="2"/>
  <c r="AE51" i="2"/>
  <c r="AH93" i="4"/>
  <c r="AH61" i="4"/>
  <c r="AB7" i="6"/>
  <c r="AB17" i="3"/>
  <c r="AB7" i="4"/>
  <c r="X32" i="6"/>
  <c r="X35" i="6"/>
  <c r="AH95" i="4"/>
  <c r="AH63" i="4"/>
  <c r="AI6" i="6"/>
  <c r="AI67" i="2"/>
  <c r="AI66" i="2"/>
  <c r="AI65" i="2"/>
  <c r="AI64" i="2"/>
  <c r="AI68" i="2"/>
  <c r="AI72" i="2"/>
  <c r="AI66" i="4" s="1"/>
  <c r="AI69" i="2"/>
  <c r="AI63" i="2"/>
  <c r="AI71" i="2"/>
  <c r="AI65" i="4" s="1"/>
  <c r="AJ9" i="3"/>
  <c r="AJ11" i="3" s="1"/>
  <c r="AI70" i="2"/>
  <c r="AA13" i="4"/>
  <c r="AA6" i="4"/>
  <c r="AA9" i="6" s="1"/>
  <c r="AA11" i="6" s="1"/>
  <c r="AC26" i="4"/>
  <c r="AC28" i="4" s="1"/>
  <c r="AC29" i="4" s="1"/>
  <c r="AC19" i="6" s="1"/>
  <c r="AC18" i="6" s="1"/>
  <c r="AC20" i="4"/>
  <c r="AK76" i="4"/>
  <c r="AK34" i="4"/>
  <c r="AL44" i="2"/>
  <c r="AC71" i="4"/>
  <c r="AC97" i="4" s="1"/>
  <c r="AC12" i="4"/>
  <c r="AD18" i="4"/>
  <c r="AD19" i="4" s="1"/>
  <c r="AE29" i="2"/>
  <c r="AD6" i="3"/>
  <c r="AC22" i="4"/>
  <c r="AC23" i="4" s="1"/>
  <c r="AD32" i="2"/>
  <c r="AW84" i="4"/>
  <c r="AX56" i="2"/>
  <c r="AW48" i="4"/>
  <c r="AH94" i="4"/>
  <c r="AH62" i="4"/>
  <c r="AD9" i="4"/>
  <c r="AE23" i="2"/>
  <c r="AD10" i="4"/>
  <c r="AX83" i="4"/>
  <c r="AY55" i="2"/>
  <c r="AX47" i="4"/>
  <c r="AI17" i="6"/>
  <c r="AC43" i="4" l="1"/>
  <c r="AC44" i="4"/>
  <c r="AI96" i="4"/>
  <c r="AI64" i="4"/>
  <c r="AJ17" i="6"/>
  <c r="AE52" i="2"/>
  <c r="S43" i="8"/>
  <c r="AD73" i="4"/>
  <c r="AD72" i="4" s="1"/>
  <c r="AM79" i="4"/>
  <c r="AM37" i="4"/>
  <c r="AN47" i="2"/>
  <c r="AJ6" i="6"/>
  <c r="BW6" i="6" s="1"/>
  <c r="AJ67" i="2"/>
  <c r="AJ70" i="2"/>
  <c r="AJ69" i="2"/>
  <c r="AJ68" i="2"/>
  <c r="AJ66" i="2"/>
  <c r="AJ63" i="2"/>
  <c r="AJ71" i="2"/>
  <c r="AJ65" i="4" s="1"/>
  <c r="AJ64" i="2"/>
  <c r="AJ72" i="2"/>
  <c r="AJ66" i="4" s="1"/>
  <c r="AK9" i="3"/>
  <c r="AK11" i="3" s="1"/>
  <c r="AJ65" i="2"/>
  <c r="AH67" i="4"/>
  <c r="AD71" i="4"/>
  <c r="AD12" i="4"/>
  <c r="AD10" i="6" s="1"/>
  <c r="X36" i="6"/>
  <c r="X6" i="8"/>
  <c r="AL77" i="4"/>
  <c r="AM45" i="2"/>
  <c r="AL35" i="4"/>
  <c r="AH88" i="4"/>
  <c r="AG22" i="6"/>
  <c r="AG68" i="4"/>
  <c r="AI89" i="4"/>
  <c r="AI57" i="4"/>
  <c r="AL76" i="4"/>
  <c r="AL75" i="4" s="1"/>
  <c r="AL34" i="4"/>
  <c r="AL40" i="4" s="1"/>
  <c r="AM44" i="2"/>
  <c r="AI63" i="4"/>
  <c r="AI95" i="4"/>
  <c r="AB13" i="4"/>
  <c r="AB6" i="4"/>
  <c r="AB9" i="6" s="1"/>
  <c r="AK40" i="4"/>
  <c r="Y12" i="6"/>
  <c r="AP14" i="2"/>
  <c r="AO10" i="3"/>
  <c r="Z31" i="6"/>
  <c r="Z26" i="6"/>
  <c r="AK75" i="4"/>
  <c r="AI94" i="4"/>
  <c r="AI62" i="4"/>
  <c r="AJ20" i="6"/>
  <c r="AJ41" i="4"/>
  <c r="AC7" i="6"/>
  <c r="AC7" i="4"/>
  <c r="AC17" i="3"/>
  <c r="AM81" i="4"/>
  <c r="AN49" i="2"/>
  <c r="AD26" i="4"/>
  <c r="AD28" i="4" s="1"/>
  <c r="AD29" i="4" s="1"/>
  <c r="AD19" i="6" s="1"/>
  <c r="AD18" i="6" s="1"/>
  <c r="AD20" i="4"/>
  <c r="AM28" i="2"/>
  <c r="AL17" i="4"/>
  <c r="AC10" i="6"/>
  <c r="AE25" i="4"/>
  <c r="AF36" i="2"/>
  <c r="AE9" i="4"/>
  <c r="AF23" i="2"/>
  <c r="AE10" i="4"/>
  <c r="AY85" i="4"/>
  <c r="AZ57" i="2"/>
  <c r="AY49" i="4"/>
  <c r="AC15" i="6"/>
  <c r="AC30" i="4"/>
  <c r="AI90" i="4"/>
  <c r="AI58" i="4"/>
  <c r="AB23" i="6"/>
  <c r="AY83" i="4"/>
  <c r="AZ55" i="2"/>
  <c r="AY47" i="4"/>
  <c r="AX84" i="4"/>
  <c r="AY56" i="2"/>
  <c r="AX48" i="4"/>
  <c r="AI91" i="4"/>
  <c r="AI59" i="4"/>
  <c r="AD13" i="3"/>
  <c r="AE11" i="2"/>
  <c r="AD16" i="3"/>
  <c r="AL86" i="4"/>
  <c r="AL82" i="4" s="1"/>
  <c r="AM58" i="2"/>
  <c r="AL50" i="4"/>
  <c r="AL52" i="4" s="1"/>
  <c r="AL21" i="6" s="1"/>
  <c r="AI92" i="4"/>
  <c r="AI60" i="4"/>
  <c r="AD22" i="4"/>
  <c r="AD23" i="4" s="1"/>
  <c r="AE32" i="2"/>
  <c r="AI93" i="4"/>
  <c r="AI61" i="4"/>
  <c r="AK82" i="4"/>
  <c r="AL78" i="4"/>
  <c r="AL36" i="4"/>
  <c r="AM46" i="2"/>
  <c r="AE18" i="4"/>
  <c r="AE19" i="4" s="1"/>
  <c r="AF29" i="2"/>
  <c r="AE6" i="3"/>
  <c r="AE73" i="4" s="1"/>
  <c r="AE72" i="4" s="1"/>
  <c r="AL80" i="4"/>
  <c r="AM48" i="2"/>
  <c r="AA25" i="6"/>
  <c r="AA13" i="6"/>
  <c r="AL87" i="4"/>
  <c r="AM59" i="2"/>
  <c r="AL51" i="4"/>
  <c r="AF51" i="2"/>
  <c r="AK21" i="6"/>
  <c r="AL61" i="2"/>
  <c r="AK55" i="4"/>
  <c r="T9" i="7"/>
  <c r="T20" i="7" s="1"/>
  <c r="U8" i="7"/>
  <c r="AF52" i="2" l="1"/>
  <c r="AA26" i="6"/>
  <c r="AA31" i="6"/>
  <c r="AM80" i="4"/>
  <c r="AN48" i="2"/>
  <c r="Z35" i="6"/>
  <c r="Z32" i="6"/>
  <c r="AH22" i="6"/>
  <c r="AH68" i="4"/>
  <c r="AJ93" i="4"/>
  <c r="AJ61" i="4"/>
  <c r="AM61" i="2"/>
  <c r="AL55" i="4"/>
  <c r="AG29" i="2"/>
  <c r="AF18" i="4"/>
  <c r="AF19" i="4" s="1"/>
  <c r="AF6" i="3"/>
  <c r="AF73" i="4" s="1"/>
  <c r="AF72" i="4" s="1"/>
  <c r="AC13" i="4"/>
  <c r="AC6" i="4"/>
  <c r="AM78" i="4"/>
  <c r="AN46" i="2"/>
  <c r="AM36" i="4"/>
  <c r="AE13" i="3"/>
  <c r="AF11" i="2"/>
  <c r="AE16" i="3"/>
  <c r="AK20" i="6"/>
  <c r="AK41" i="4"/>
  <c r="AJ90" i="4"/>
  <c r="AJ58" i="4"/>
  <c r="AG51" i="2"/>
  <c r="AB11" i="6"/>
  <c r="AM17" i="4"/>
  <c r="AN28" i="2"/>
  <c r="AJ89" i="4"/>
  <c r="AJ57" i="4"/>
  <c r="AC16" i="6"/>
  <c r="AC23" i="6" s="1"/>
  <c r="AC53" i="4"/>
  <c r="AL20" i="6"/>
  <c r="AL41" i="4"/>
  <c r="AE71" i="4"/>
  <c r="AE97" i="4" s="1"/>
  <c r="AE12" i="4"/>
  <c r="AE10" i="6" s="1"/>
  <c r="AN81" i="4"/>
  <c r="AO49" i="2"/>
  <c r="AG36" i="2"/>
  <c r="AF25" i="4"/>
  <c r="AI67" i="4"/>
  <c r="AI88" i="4"/>
  <c r="AE26" i="4"/>
  <c r="AE28" i="4" s="1"/>
  <c r="AE29" i="4" s="1"/>
  <c r="AE19" i="6" s="1"/>
  <c r="AE18" i="6" s="1"/>
  <c r="AE20" i="4"/>
  <c r="AK6" i="6"/>
  <c r="AK72" i="2"/>
  <c r="AK66" i="4" s="1"/>
  <c r="AK71" i="2"/>
  <c r="AK65" i="4" s="1"/>
  <c r="AK65" i="2"/>
  <c r="AK69" i="2"/>
  <c r="AK66" i="2"/>
  <c r="AK63" i="2"/>
  <c r="AK68" i="2"/>
  <c r="AK67" i="2"/>
  <c r="AK64" i="2"/>
  <c r="AL9" i="3"/>
  <c r="AL11" i="3" s="1"/>
  <c r="AK70" i="2"/>
  <c r="AD7" i="6"/>
  <c r="AD7" i="4"/>
  <c r="AD17" i="3"/>
  <c r="AD15" i="6"/>
  <c r="AD30" i="4"/>
  <c r="AM77" i="4"/>
  <c r="AN45" i="2"/>
  <c r="AM35" i="4"/>
  <c r="AJ92" i="4"/>
  <c r="AJ60" i="4"/>
  <c r="AD97" i="4"/>
  <c r="AZ83" i="4"/>
  <c r="BA55" i="2"/>
  <c r="AZ47" i="4"/>
  <c r="AQ14" i="2"/>
  <c r="AP10" i="3"/>
  <c r="AN58" i="2"/>
  <c r="AM50" i="4"/>
  <c r="AM86" i="4"/>
  <c r="Y25" i="6"/>
  <c r="Y13" i="6"/>
  <c r="AJ91" i="4"/>
  <c r="AJ59" i="4"/>
  <c r="AJ94" i="4"/>
  <c r="AJ62" i="4"/>
  <c r="V8" i="7"/>
  <c r="U9" i="7"/>
  <c r="U20" i="7" s="1"/>
  <c r="AJ96" i="4"/>
  <c r="AJ64" i="4"/>
  <c r="AF9" i="4"/>
  <c r="AG23" i="2"/>
  <c r="AF10" i="4"/>
  <c r="AK17" i="6"/>
  <c r="AN79" i="4"/>
  <c r="AN37" i="4"/>
  <c r="AO47" i="2"/>
  <c r="AM87" i="4"/>
  <c r="AN59" i="2"/>
  <c r="AM51" i="4"/>
  <c r="AE22" i="4"/>
  <c r="AE23" i="4" s="1"/>
  <c r="AF32" i="2"/>
  <c r="AY84" i="4"/>
  <c r="AZ56" i="2"/>
  <c r="AY48" i="4"/>
  <c r="AZ85" i="4"/>
  <c r="BA57" i="2"/>
  <c r="AZ49" i="4"/>
  <c r="AM76" i="4"/>
  <c r="AN44" i="2"/>
  <c r="AM34" i="4"/>
  <c r="X14" i="8"/>
  <c r="X25" i="8" s="1"/>
  <c r="X41" i="8" s="1"/>
  <c r="BV6" i="8"/>
  <c r="BV14" i="8" s="1"/>
  <c r="BV25" i="8" s="1"/>
  <c r="BV41" i="8" s="1"/>
  <c r="BV43" i="8" s="1"/>
  <c r="BW42" i="8" s="1"/>
  <c r="AJ95" i="4"/>
  <c r="AJ63" i="4"/>
  <c r="T42" i="8"/>
  <c r="T43" i="8" s="1"/>
  <c r="S33" i="7"/>
  <c r="S35" i="7" s="1"/>
  <c r="S37" i="7" s="1"/>
  <c r="S38" i="7" s="1"/>
  <c r="AE43" i="4" l="1"/>
  <c r="AE44" i="4"/>
  <c r="BA83" i="4"/>
  <c r="BB55" i="2"/>
  <c r="BA47" i="4"/>
  <c r="AN36" i="4"/>
  <c r="AO46" i="2"/>
  <c r="AN78" i="4"/>
  <c r="AN76" i="4"/>
  <c r="AO44" i="2"/>
  <c r="AN34" i="4"/>
  <c r="AD43" i="4"/>
  <c r="AD44" i="4"/>
  <c r="AE30" i="4"/>
  <c r="AE15" i="6"/>
  <c r="AL6" i="6"/>
  <c r="AL70" i="2"/>
  <c r="AL63" i="2"/>
  <c r="AL66" i="2"/>
  <c r="AL71" i="2"/>
  <c r="AL65" i="4" s="1"/>
  <c r="AL68" i="2"/>
  <c r="AL64" i="2"/>
  <c r="AL72" i="2"/>
  <c r="AL66" i="4" s="1"/>
  <c r="AM9" i="3"/>
  <c r="AM11" i="3" s="1"/>
  <c r="AL69" i="2"/>
  <c r="AL65" i="2"/>
  <c r="AL67" i="2"/>
  <c r="Y31" i="6"/>
  <c r="Y26" i="6"/>
  <c r="AN77" i="4"/>
  <c r="AO45" i="2"/>
  <c r="AN35" i="4"/>
  <c r="AF97" i="4"/>
  <c r="AF43" i="4" s="1"/>
  <c r="AK94" i="4"/>
  <c r="AK62" i="4"/>
  <c r="AF26" i="4"/>
  <c r="AF28" i="4" s="1"/>
  <c r="AF29" i="4" s="1"/>
  <c r="AF19" i="6" s="1"/>
  <c r="AF18" i="6" s="1"/>
  <c r="AF20" i="4"/>
  <c r="AN86" i="4"/>
  <c r="AN50" i="4"/>
  <c r="AO58" i="2"/>
  <c r="AG52" i="2"/>
  <c r="AK92" i="4"/>
  <c r="AK60" i="4"/>
  <c r="AO81" i="4"/>
  <c r="AP49" i="2"/>
  <c r="AL17" i="6"/>
  <c r="AN87" i="4"/>
  <c r="AO59" i="2"/>
  <c r="AN51" i="4"/>
  <c r="V9" i="7"/>
  <c r="V20" i="7" s="1"/>
  <c r="W8" i="7"/>
  <c r="AD13" i="4"/>
  <c r="AD6" i="4"/>
  <c r="AD9" i="6" s="1"/>
  <c r="AD11" i="6" s="1"/>
  <c r="AD12" i="6" s="1"/>
  <c r="AH51" i="2"/>
  <c r="AM40" i="4"/>
  <c r="AM75" i="4"/>
  <c r="AK96" i="4"/>
  <c r="AK64" i="4"/>
  <c r="AJ67" i="4"/>
  <c r="AC9" i="6"/>
  <c r="AN80" i="4"/>
  <c r="AO48" i="2"/>
  <c r="BA85" i="4"/>
  <c r="BB57" i="2"/>
  <c r="BA49" i="4"/>
  <c r="AK90" i="4"/>
  <c r="AK58" i="4"/>
  <c r="AN17" i="4"/>
  <c r="AO28" i="2"/>
  <c r="AM82" i="4"/>
  <c r="AK93" i="4"/>
  <c r="AK61" i="4"/>
  <c r="AI22" i="6"/>
  <c r="AI68" i="4"/>
  <c r="AA35" i="6"/>
  <c r="AA32" i="6"/>
  <c r="AF71" i="4"/>
  <c r="AF12" i="4"/>
  <c r="AF10" i="6" s="1"/>
  <c r="AM52" i="4"/>
  <c r="AE7" i="6"/>
  <c r="AE7" i="4"/>
  <c r="AE17" i="3"/>
  <c r="AZ84" i="4"/>
  <c r="BA56" i="2"/>
  <c r="AZ48" i="4"/>
  <c r="AG9" i="4"/>
  <c r="AH23" i="2"/>
  <c r="AG10" i="4"/>
  <c r="AK89" i="4"/>
  <c r="AK57" i="4"/>
  <c r="AH36" i="2"/>
  <c r="AG25" i="4"/>
  <c r="AG11" i="2"/>
  <c r="AF13" i="3"/>
  <c r="AF22" i="4" s="1"/>
  <c r="AF23" i="4" s="1"/>
  <c r="AF16" i="3"/>
  <c r="AH29" i="2"/>
  <c r="AG18" i="4"/>
  <c r="AG19" i="4" s="1"/>
  <c r="AG6" i="3"/>
  <c r="AG73" i="4" s="1"/>
  <c r="AG72" i="4" s="1"/>
  <c r="U42" i="8"/>
  <c r="U43" i="8" s="1"/>
  <c r="T33" i="7"/>
  <c r="T35" i="7" s="1"/>
  <c r="T37" i="7" s="1"/>
  <c r="T38" i="7" s="1"/>
  <c r="AG32" i="2"/>
  <c r="AR14" i="2"/>
  <c r="AQ10" i="3"/>
  <c r="AK63" i="4"/>
  <c r="AK95" i="4"/>
  <c r="AB12" i="6"/>
  <c r="AM55" i="4"/>
  <c r="AN61" i="2"/>
  <c r="AO79" i="4"/>
  <c r="AO37" i="4"/>
  <c r="AP47" i="2"/>
  <c r="Z6" i="8"/>
  <c r="Z14" i="8" s="1"/>
  <c r="Z25" i="8" s="1"/>
  <c r="Z41" i="8" s="1"/>
  <c r="Z36" i="6"/>
  <c r="AJ88" i="4"/>
  <c r="AK91" i="4"/>
  <c r="AK59" i="4"/>
  <c r="AD25" i="6" l="1"/>
  <c r="AD13" i="6"/>
  <c r="AL90" i="4"/>
  <c r="AL58" i="4"/>
  <c r="AN75" i="4"/>
  <c r="AG97" i="4"/>
  <c r="AG43" i="4" s="1"/>
  <c r="BA84" i="4"/>
  <c r="BB56" i="2"/>
  <c r="BA48" i="4"/>
  <c r="AM20" i="6"/>
  <c r="AM41" i="4"/>
  <c r="AM17" i="6"/>
  <c r="AL89" i="4"/>
  <c r="AL57" i="4"/>
  <c r="AO86" i="4"/>
  <c r="AO50" i="4"/>
  <c r="AP58" i="2"/>
  <c r="AG20" i="4"/>
  <c r="AG26" i="4"/>
  <c r="AG28" i="4" s="1"/>
  <c r="AG29" i="4" s="1"/>
  <c r="AG19" i="6" s="1"/>
  <c r="AG18" i="6" s="1"/>
  <c r="AI29" i="2"/>
  <c r="AH18" i="4"/>
  <c r="AH19" i="4" s="1"/>
  <c r="AH6" i="3"/>
  <c r="AH73" i="4" s="1"/>
  <c r="AH72" i="4" s="1"/>
  <c r="AO78" i="4"/>
  <c r="AO36" i="4"/>
  <c r="AP46" i="2"/>
  <c r="AF7" i="6"/>
  <c r="AF7" i="4"/>
  <c r="AF17" i="3"/>
  <c r="AH52" i="2"/>
  <c r="AB13" i="6"/>
  <c r="AB25" i="6"/>
  <c r="AM21" i="6"/>
  <c r="Y35" i="6"/>
  <c r="Y32" i="6"/>
  <c r="BW88" i="4"/>
  <c r="AI36" i="2"/>
  <c r="AH25" i="4"/>
  <c r="AC11" i="6"/>
  <c r="AN52" i="4"/>
  <c r="AN21" i="6" s="1"/>
  <c r="AL93" i="4"/>
  <c r="AL61" i="4"/>
  <c r="AE23" i="6"/>
  <c r="AK67" i="4"/>
  <c r="AP28" i="2"/>
  <c r="AO17" i="4"/>
  <c r="AJ22" i="6"/>
  <c r="AJ68" i="4"/>
  <c r="AO87" i="4"/>
  <c r="AP59" i="2"/>
  <c r="AO51" i="4"/>
  <c r="AN82" i="4"/>
  <c r="AL91" i="4"/>
  <c r="AL59" i="4"/>
  <c r="V42" i="8"/>
  <c r="V43" i="8" s="1"/>
  <c r="U33" i="7"/>
  <c r="U35" i="7" s="1"/>
  <c r="U37" i="7" s="1"/>
  <c r="U38" i="7" s="1"/>
  <c r="AL94" i="4"/>
  <c r="AL62" i="4"/>
  <c r="BB85" i="4"/>
  <c r="BC57" i="2"/>
  <c r="BB49" i="4"/>
  <c r="AL92" i="4"/>
  <c r="AL60" i="4"/>
  <c r="AF44" i="4"/>
  <c r="AF16" i="6" s="1"/>
  <c r="AS14" i="2"/>
  <c r="AR10" i="3"/>
  <c r="AK88" i="4"/>
  <c r="AA6" i="8"/>
  <c r="AA14" i="8" s="1"/>
  <c r="AA25" i="8" s="1"/>
  <c r="AA41" i="8" s="1"/>
  <c r="AA36" i="6"/>
  <c r="AF30" i="4"/>
  <c r="AF15" i="6"/>
  <c r="AO77" i="4"/>
  <c r="AO35" i="4"/>
  <c r="AP45" i="2"/>
  <c r="X8" i="7"/>
  <c r="W9" i="7"/>
  <c r="W20" i="7" s="1"/>
  <c r="AG71" i="4"/>
  <c r="AG12" i="4"/>
  <c r="AG10" i="6" s="1"/>
  <c r="AL95" i="4"/>
  <c r="AL63" i="4"/>
  <c r="AD53" i="4"/>
  <c r="AD16" i="6"/>
  <c r="AD23" i="6" s="1"/>
  <c r="AO80" i="4"/>
  <c r="AP48" i="2"/>
  <c r="AL96" i="4"/>
  <c r="AL64" i="4"/>
  <c r="AP79" i="4"/>
  <c r="AQ47" i="2"/>
  <c r="AP37" i="4"/>
  <c r="AH9" i="4"/>
  <c r="AI23" i="2"/>
  <c r="AH10" i="4"/>
  <c r="AM6" i="6"/>
  <c r="AM72" i="2"/>
  <c r="AM66" i="4" s="1"/>
  <c r="AM63" i="2"/>
  <c r="AM70" i="2"/>
  <c r="AM66" i="2"/>
  <c r="AM71" i="2"/>
  <c r="AM65" i="4" s="1"/>
  <c r="AM68" i="2"/>
  <c r="AM65" i="2"/>
  <c r="AM64" i="2"/>
  <c r="AN9" i="3"/>
  <c r="AN11" i="3" s="1"/>
  <c r="AM69" i="2"/>
  <c r="AM67" i="2"/>
  <c r="AN40" i="4"/>
  <c r="AI51" i="2"/>
  <c r="AN55" i="4"/>
  <c r="AO61" i="2"/>
  <c r="AE6" i="4"/>
  <c r="AE9" i="6" s="1"/>
  <c r="AE11" i="6" s="1"/>
  <c r="AE12" i="6" s="1"/>
  <c r="AE13" i="4"/>
  <c r="AH11" i="2"/>
  <c r="AG13" i="3"/>
  <c r="AG16" i="3"/>
  <c r="BB83" i="4"/>
  <c r="BC55" i="2"/>
  <c r="BB47" i="4"/>
  <c r="AG22" i="4"/>
  <c r="AG23" i="4" s="1"/>
  <c r="AH32" i="2"/>
  <c r="AP81" i="4"/>
  <c r="AQ49" i="2"/>
  <c r="AO76" i="4"/>
  <c r="AP44" i="2"/>
  <c r="AO34" i="4"/>
  <c r="AO40" i="4" s="1"/>
  <c r="AE16" i="6"/>
  <c r="AE53" i="4"/>
  <c r="AE25" i="6" l="1"/>
  <c r="AE13" i="6"/>
  <c r="BC83" i="4"/>
  <c r="BD55" i="2"/>
  <c r="BC47" i="4"/>
  <c r="AM95" i="4"/>
  <c r="AM63" i="4"/>
  <c r="AI9" i="4"/>
  <c r="AJ23" i="2"/>
  <c r="AI10" i="4"/>
  <c r="BB84" i="4"/>
  <c r="BC56" i="2"/>
  <c r="BB48" i="4"/>
  <c r="AN6" i="6"/>
  <c r="AN66" i="2"/>
  <c r="AN69" i="2"/>
  <c r="AN63" i="2"/>
  <c r="AN70" i="2"/>
  <c r="AN67" i="2"/>
  <c r="AN71" i="2"/>
  <c r="AN65" i="4" s="1"/>
  <c r="AN68" i="2"/>
  <c r="AN65" i="2"/>
  <c r="AO9" i="3"/>
  <c r="AO11" i="3" s="1"/>
  <c r="AN72" i="2"/>
  <c r="AN66" i="4" s="1"/>
  <c r="AN64" i="2"/>
  <c r="AM90" i="4"/>
  <c r="AM58" i="4"/>
  <c r="AC12" i="6"/>
  <c r="AG16" i="6"/>
  <c r="AG53" i="4"/>
  <c r="AM91" i="4"/>
  <c r="AM59" i="4"/>
  <c r="AQ79" i="4"/>
  <c r="AQ37" i="4"/>
  <c r="AR47" i="2"/>
  <c r="AO20" i="6"/>
  <c r="AO41" i="4"/>
  <c r="AM94" i="4"/>
  <c r="AM62" i="4"/>
  <c r="AI25" i="4"/>
  <c r="AJ36" i="2"/>
  <c r="AO82" i="4"/>
  <c r="V33" i="7"/>
  <c r="V35" i="7" s="1"/>
  <c r="V37" i="7" s="1"/>
  <c r="V38" i="7" s="1"/>
  <c r="W42" i="8"/>
  <c r="W43" i="8" s="1"/>
  <c r="AB31" i="6"/>
  <c r="AB26" i="6"/>
  <c r="AT14" i="2"/>
  <c r="AS10" i="3"/>
  <c r="AL67" i="4"/>
  <c r="AN20" i="6"/>
  <c r="AN41" i="4"/>
  <c r="AD31" i="6"/>
  <c r="AD26" i="6"/>
  <c r="AM93" i="4"/>
  <c r="AM61" i="4"/>
  <c r="AH26" i="4"/>
  <c r="AH28" i="4" s="1"/>
  <c r="AH29" i="4" s="1"/>
  <c r="AH19" i="6" s="1"/>
  <c r="AH18" i="6" s="1"/>
  <c r="AH20" i="4"/>
  <c r="AG7" i="6"/>
  <c r="AG7" i="4"/>
  <c r="AG17" i="3"/>
  <c r="AG15" i="6"/>
  <c r="AG23" i="6" s="1"/>
  <c r="AG30" i="4"/>
  <c r="AP86" i="4"/>
  <c r="AP82" i="4" s="1"/>
  <c r="AP50" i="4"/>
  <c r="AQ58" i="2"/>
  <c r="AG44" i="4"/>
  <c r="X9" i="7"/>
  <c r="Y8" i="7"/>
  <c r="BV8" i="7"/>
  <c r="AO75" i="4"/>
  <c r="AO55" i="4"/>
  <c r="AP61" i="2"/>
  <c r="AM92" i="4"/>
  <c r="AM60" i="4"/>
  <c r="AP77" i="4"/>
  <c r="AQ45" i="2"/>
  <c r="AP35" i="4"/>
  <c r="BC85" i="4"/>
  <c r="BD57" i="2"/>
  <c r="BC49" i="4"/>
  <c r="AF13" i="4"/>
  <c r="AF6" i="4"/>
  <c r="AF9" i="6" s="1"/>
  <c r="AL88" i="4"/>
  <c r="AF53" i="4"/>
  <c r="AI18" i="4"/>
  <c r="AI19" i="4" s="1"/>
  <c r="AJ29" i="2"/>
  <c r="AI6" i="3"/>
  <c r="AI73" i="4" s="1"/>
  <c r="AI72" i="4" s="1"/>
  <c r="AI52" i="2"/>
  <c r="AI11" i="2"/>
  <c r="AH13" i="3"/>
  <c r="AH16" i="3"/>
  <c r="AO52" i="4"/>
  <c r="AP76" i="4"/>
  <c r="AQ44" i="2"/>
  <c r="AP34" i="4"/>
  <c r="AQ81" i="4"/>
  <c r="AR49" i="2"/>
  <c r="AN17" i="6"/>
  <c r="AM96" i="4"/>
  <c r="AM64" i="4"/>
  <c r="AH71" i="4"/>
  <c r="AH12" i="4"/>
  <c r="AH10" i="6" s="1"/>
  <c r="AP87" i="4"/>
  <c r="AQ59" i="2"/>
  <c r="AP51" i="4"/>
  <c r="AJ51" i="2"/>
  <c r="AM89" i="4"/>
  <c r="AM88" i="4" s="1"/>
  <c r="AM57" i="4"/>
  <c r="AQ28" i="2"/>
  <c r="AP17" i="4"/>
  <c r="AP78" i="4"/>
  <c r="AP36" i="4"/>
  <c r="AQ46" i="2"/>
  <c r="AF23" i="6"/>
  <c r="AH97" i="4"/>
  <c r="AH43" i="4" s="1"/>
  <c r="AH22" i="4"/>
  <c r="AH23" i="4" s="1"/>
  <c r="AI32" i="2"/>
  <c r="AP80" i="4"/>
  <c r="AQ48" i="2"/>
  <c r="AK22" i="6"/>
  <c r="AK68" i="4"/>
  <c r="Y6" i="8"/>
  <c r="Y36" i="6"/>
  <c r="AM67" i="4" l="1"/>
  <c r="AI71" i="4"/>
  <c r="AI12" i="4"/>
  <c r="AI10" i="6" s="1"/>
  <c r="AN94" i="4"/>
  <c r="AN62" i="4"/>
  <c r="AB32" i="6"/>
  <c r="AB35" i="6"/>
  <c r="AF11" i="6"/>
  <c r="AG12" i="6"/>
  <c r="AP75" i="4"/>
  <c r="AO17" i="6"/>
  <c r="AH15" i="6"/>
  <c r="AH30" i="4"/>
  <c r="AO21" i="6"/>
  <c r="AN95" i="4"/>
  <c r="AN63" i="4"/>
  <c r="BD83" i="4"/>
  <c r="BE55" i="2"/>
  <c r="BD47" i="4"/>
  <c r="AQ77" i="4"/>
  <c r="AQ35" i="4"/>
  <c r="AR45" i="2"/>
  <c r="AO6" i="6"/>
  <c r="AP9" i="3"/>
  <c r="AP11" i="3" s="1"/>
  <c r="AO70" i="2"/>
  <c r="AO67" i="2"/>
  <c r="AO64" i="2"/>
  <c r="AO68" i="2"/>
  <c r="AO63" i="2"/>
  <c r="AO65" i="2"/>
  <c r="AO72" i="2"/>
  <c r="AO66" i="4" s="1"/>
  <c r="AO69" i="2"/>
  <c r="AO66" i="2"/>
  <c r="AO71" i="2"/>
  <c r="AO65" i="4" s="1"/>
  <c r="AP40" i="4"/>
  <c r="AN93" i="4"/>
  <c r="AN61" i="4"/>
  <c r="AQ87" i="4"/>
  <c r="AR59" i="2"/>
  <c r="AQ51" i="4"/>
  <c r="AN96" i="4"/>
  <c r="AN64" i="4"/>
  <c r="AN89" i="4"/>
  <c r="AN57" i="4"/>
  <c r="AQ78" i="4"/>
  <c r="AR46" i="2"/>
  <c r="AQ36" i="4"/>
  <c r="AH7" i="6"/>
  <c r="AH17" i="3"/>
  <c r="AH7" i="4"/>
  <c r="AJ25" i="4"/>
  <c r="AK36" i="2"/>
  <c r="AC25" i="6"/>
  <c r="AC13" i="6"/>
  <c r="AR79" i="4"/>
  <c r="AS47" i="2"/>
  <c r="AR37" i="4"/>
  <c r="AJ32" i="2"/>
  <c r="AI22" i="4"/>
  <c r="AI23" i="4" s="1"/>
  <c r="AN91" i="4"/>
  <c r="AN59" i="4"/>
  <c r="AR81" i="4"/>
  <c r="AS49" i="2"/>
  <c r="AU14" i="2"/>
  <c r="AT10" i="3"/>
  <c r="AG6" i="4"/>
  <c r="AG9" i="6" s="1"/>
  <c r="AG11" i="6" s="1"/>
  <c r="AG13" i="4"/>
  <c r="AQ76" i="4"/>
  <c r="AR44" i="2"/>
  <c r="AQ34" i="4"/>
  <c r="AP55" i="4"/>
  <c r="AQ61" i="2"/>
  <c r="X42" i="8"/>
  <c r="X43" i="8" s="1"/>
  <c r="W33" i="7"/>
  <c r="W35" i="7" s="1"/>
  <c r="W37" i="7" s="1"/>
  <c r="W38" i="7" s="1"/>
  <c r="Z8" i="7"/>
  <c r="Y9" i="7"/>
  <c r="Y20" i="7" s="1"/>
  <c r="AN92" i="4"/>
  <c r="AN60" i="4"/>
  <c r="AE26" i="6"/>
  <c r="AE31" i="6"/>
  <c r="AL22" i="6"/>
  <c r="AL68" i="4"/>
  <c r="AI20" i="4"/>
  <c r="AI26" i="4"/>
  <c r="AI28" i="4" s="1"/>
  <c r="AI29" i="4" s="1"/>
  <c r="AI19" i="6" s="1"/>
  <c r="AI18" i="6" s="1"/>
  <c r="AK51" i="2"/>
  <c r="Y14" i="8"/>
  <c r="Y25" i="8" s="1"/>
  <c r="Y41" i="8" s="1"/>
  <c r="AJ52" i="2"/>
  <c r="BD85" i="4"/>
  <c r="BE57" i="2"/>
  <c r="BD49" i="4"/>
  <c r="AD32" i="6"/>
  <c r="AD35" i="6"/>
  <c r="AN90" i="4"/>
  <c r="AN58" i="4"/>
  <c r="AK29" i="2"/>
  <c r="AJ18" i="4"/>
  <c r="AJ19" i="4" s="1"/>
  <c r="AJ6" i="3"/>
  <c r="AJ73" i="4" s="1"/>
  <c r="AJ72" i="4" s="1"/>
  <c r="AQ17" i="4"/>
  <c r="AR28" i="2"/>
  <c r="AH44" i="4"/>
  <c r="AH16" i="6" s="1"/>
  <c r="AQ86" i="4"/>
  <c r="AQ82" i="4" s="1"/>
  <c r="AR58" i="2"/>
  <c r="AQ50" i="4"/>
  <c r="AQ52" i="4" s="1"/>
  <c r="AQ21" i="6" s="1"/>
  <c r="BC84" i="4"/>
  <c r="BC48" i="4"/>
  <c r="BD56" i="2"/>
  <c r="AJ9" i="4"/>
  <c r="AK23" i="2"/>
  <c r="AJ10" i="4"/>
  <c r="AJ11" i="2"/>
  <c r="AI13" i="3"/>
  <c r="AI16" i="3"/>
  <c r="X20" i="7"/>
  <c r="BV9" i="7"/>
  <c r="BV20" i="7" s="1"/>
  <c r="AQ80" i="4"/>
  <c r="AR48" i="2"/>
  <c r="AI97" i="4"/>
  <c r="AI43" i="4" s="1"/>
  <c r="AP52" i="4"/>
  <c r="AP21" i="6" s="1"/>
  <c r="AK32" i="2" l="1"/>
  <c r="BE85" i="4"/>
  <c r="BF57" i="2"/>
  <c r="BE49" i="4"/>
  <c r="AS79" i="4"/>
  <c r="AS37" i="4"/>
  <c r="AT47" i="2"/>
  <c r="AI7" i="6"/>
  <c r="AI7" i="4"/>
  <c r="AI17" i="3"/>
  <c r="AI44" i="4"/>
  <c r="AE35" i="6"/>
  <c r="AE32" i="6"/>
  <c r="AO89" i="4"/>
  <c r="AO57" i="4"/>
  <c r="BD84" i="4"/>
  <c r="BE56" i="2"/>
  <c r="BD48" i="4"/>
  <c r="AM22" i="6"/>
  <c r="AM68" i="4"/>
  <c r="AS48" i="2"/>
  <c r="AR80" i="4"/>
  <c r="AO92" i="4"/>
  <c r="AO60" i="4"/>
  <c r="AN67" i="4"/>
  <c r="AN88" i="4"/>
  <c r="AH53" i="4"/>
  <c r="AR87" i="4"/>
  <c r="AS59" i="2"/>
  <c r="AR51" i="4"/>
  <c r="AI16" i="6"/>
  <c r="AI53" i="4"/>
  <c r="AQ40" i="4"/>
  <c r="AO95" i="4"/>
  <c r="AO63" i="4"/>
  <c r="AR76" i="4"/>
  <c r="AS44" i="2"/>
  <c r="AR34" i="4"/>
  <c r="BE83" i="4"/>
  <c r="BF55" i="2"/>
  <c r="BE47" i="4"/>
  <c r="AK52" i="2"/>
  <c r="AK11" i="2"/>
  <c r="AJ13" i="3"/>
  <c r="AJ22" i="4" s="1"/>
  <c r="AJ23" i="4" s="1"/>
  <c r="AJ16" i="3"/>
  <c r="AO94" i="4"/>
  <c r="AO62" i="4"/>
  <c r="AO90" i="4"/>
  <c r="AO58" i="4"/>
  <c r="AP20" i="6"/>
  <c r="AP41" i="4"/>
  <c r="D45" i="8"/>
  <c r="D22" i="9" s="1"/>
  <c r="Y42" i="8"/>
  <c r="Y43" i="8" s="1"/>
  <c r="X33" i="7"/>
  <c r="AR77" i="4"/>
  <c r="AS45" i="2"/>
  <c r="AR35" i="4"/>
  <c r="AL51" i="2"/>
  <c r="AQ55" i="4"/>
  <c r="AR61" i="2"/>
  <c r="AP17" i="6"/>
  <c r="AI15" i="6"/>
  <c r="AI23" i="6" s="1"/>
  <c r="AI30" i="4"/>
  <c r="AQ75" i="4"/>
  <c r="AB6" i="8"/>
  <c r="AB36" i="6"/>
  <c r="AS28" i="2"/>
  <c r="AR17" i="4"/>
  <c r="AO91" i="4"/>
  <c r="AO59" i="4"/>
  <c r="AC26" i="6"/>
  <c r="AC31" i="6"/>
  <c r="AK25" i="4"/>
  <c r="AL36" i="2"/>
  <c r="AJ71" i="4"/>
  <c r="BW71" i="4" s="1"/>
  <c r="AJ12" i="4"/>
  <c r="AJ10" i="6" s="1"/>
  <c r="BW72" i="4"/>
  <c r="AV14" i="2"/>
  <c r="AU10" i="3"/>
  <c r="AO93" i="4"/>
  <c r="AO61" i="4"/>
  <c r="AK9" i="4"/>
  <c r="AL23" i="2"/>
  <c r="AK10" i="4"/>
  <c r="AJ26" i="4"/>
  <c r="AJ28" i="4" s="1"/>
  <c r="AJ29" i="4" s="1"/>
  <c r="AJ19" i="6" s="1"/>
  <c r="AJ18" i="6" s="1"/>
  <c r="AJ20" i="4"/>
  <c r="AS81" i="4"/>
  <c r="AT49" i="2"/>
  <c r="AH6" i="4"/>
  <c r="AH9" i="6" s="1"/>
  <c r="AH13" i="4"/>
  <c r="AO96" i="4"/>
  <c r="AO64" i="4"/>
  <c r="AD36" i="6"/>
  <c r="AD6" i="8"/>
  <c r="AD14" i="8" s="1"/>
  <c r="AD25" i="8" s="1"/>
  <c r="AD41" i="8" s="1"/>
  <c r="AR78" i="4"/>
  <c r="AS46" i="2"/>
  <c r="AR36" i="4"/>
  <c r="AG13" i="6"/>
  <c r="AG25" i="6"/>
  <c r="AR86" i="4"/>
  <c r="AR82" i="4" s="1"/>
  <c r="AS58" i="2"/>
  <c r="AR50" i="4"/>
  <c r="AR52" i="4" s="1"/>
  <c r="AR21" i="6" s="1"/>
  <c r="AF12" i="6"/>
  <c r="AL29" i="2"/>
  <c r="AK18" i="4"/>
  <c r="AK19" i="4" s="1"/>
  <c r="AK6" i="3"/>
  <c r="AA8" i="7"/>
  <c r="Z9" i="7"/>
  <c r="Z20" i="7" s="1"/>
  <c r="AP6" i="6"/>
  <c r="AP69" i="2"/>
  <c r="AP66" i="2"/>
  <c r="AP70" i="2"/>
  <c r="AP67" i="2"/>
  <c r="AP64" i="2"/>
  <c r="AQ9" i="3"/>
  <c r="AQ11" i="3" s="1"/>
  <c r="AP68" i="2"/>
  <c r="AP63" i="2"/>
  <c r="AP65" i="2"/>
  <c r="AP72" i="2"/>
  <c r="AP66" i="4" s="1"/>
  <c r="AP71" i="2"/>
  <c r="AP65" i="4" s="1"/>
  <c r="AH23" i="6"/>
  <c r="AP94" i="4" l="1"/>
  <c r="AP62" i="4"/>
  <c r="AM29" i="2"/>
  <c r="AL18" i="4"/>
  <c r="AL19" i="4" s="1"/>
  <c r="AL6" i="3"/>
  <c r="AL73" i="4" s="1"/>
  <c r="AL72" i="4" s="1"/>
  <c r="AJ97" i="4"/>
  <c r="AB14" i="8"/>
  <c r="AB25" i="8" s="1"/>
  <c r="AB41" i="8" s="1"/>
  <c r="AS77" i="4"/>
  <c r="AT45" i="2"/>
  <c r="AS35" i="4"/>
  <c r="AS80" i="4"/>
  <c r="AT48" i="2"/>
  <c r="AT79" i="4"/>
  <c r="AT37" i="4"/>
  <c r="AU47" i="2"/>
  <c r="AP90" i="4"/>
  <c r="AP58" i="4"/>
  <c r="Z42" i="8"/>
  <c r="Z43" i="8" s="1"/>
  <c r="Y33" i="7"/>
  <c r="Y35" i="7" s="1"/>
  <c r="Y37" i="7" s="1"/>
  <c r="Y38" i="7" s="1"/>
  <c r="I48" i="9"/>
  <c r="G46" i="9"/>
  <c r="E44" i="9"/>
  <c r="H48" i="9"/>
  <c r="F46" i="9"/>
  <c r="G48" i="9"/>
  <c r="E46" i="9"/>
  <c r="E48" i="9"/>
  <c r="I45" i="9"/>
  <c r="I47" i="9"/>
  <c r="G45" i="9"/>
  <c r="H47" i="9"/>
  <c r="F45" i="9"/>
  <c r="G47" i="9"/>
  <c r="E45" i="9"/>
  <c r="I46" i="9"/>
  <c r="G44" i="9"/>
  <c r="F48" i="9"/>
  <c r="D24" i="9"/>
  <c r="F47" i="9"/>
  <c r="H46" i="9"/>
  <c r="H45" i="9"/>
  <c r="E47" i="9"/>
  <c r="I44" i="9"/>
  <c r="F44" i="9"/>
  <c r="H44" i="9"/>
  <c r="D23" i="9"/>
  <c r="AK13" i="3"/>
  <c r="AK22" i="4" s="1"/>
  <c r="AL11" i="2"/>
  <c r="AK16" i="3"/>
  <c r="BE84" i="4"/>
  <c r="BF56" i="2"/>
  <c r="BE48" i="4"/>
  <c r="BF85" i="4"/>
  <c r="BG57" i="2"/>
  <c r="BF49" i="4"/>
  <c r="AW14" i="2"/>
  <c r="AV10" i="3"/>
  <c r="AJ7" i="6"/>
  <c r="AJ7" i="4"/>
  <c r="AJ17" i="3"/>
  <c r="AP96" i="4"/>
  <c r="AP64" i="4"/>
  <c r="AJ15" i="6"/>
  <c r="AJ30" i="4"/>
  <c r="AL52" i="2"/>
  <c r="AS87" i="4"/>
  <c r="AT59" i="2"/>
  <c r="AS51" i="4"/>
  <c r="AF25" i="6"/>
  <c r="AF13" i="6"/>
  <c r="AP92" i="4"/>
  <c r="AP60" i="4"/>
  <c r="AO67" i="4"/>
  <c r="AC35" i="6"/>
  <c r="AC32" i="6"/>
  <c r="AK71" i="4"/>
  <c r="AK12" i="4"/>
  <c r="AO88" i="4"/>
  <c r="AR55" i="4"/>
  <c r="AS61" i="2"/>
  <c r="BF83" i="4"/>
  <c r="BG55" i="2"/>
  <c r="BF47" i="4"/>
  <c r="AK20" i="4"/>
  <c r="AK26" i="4"/>
  <c r="AK28" i="4" s="1"/>
  <c r="AL25" i="4"/>
  <c r="AM36" i="2"/>
  <c r="AG26" i="6"/>
  <c r="AG31" i="6"/>
  <c r="AQ6" i="6"/>
  <c r="AR9" i="3"/>
  <c r="AR11" i="3" s="1"/>
  <c r="AQ63" i="2"/>
  <c r="AQ67" i="2"/>
  <c r="AQ64" i="2"/>
  <c r="AQ71" i="2"/>
  <c r="AQ65" i="4" s="1"/>
  <c r="AQ65" i="2"/>
  <c r="AQ70" i="2"/>
  <c r="AQ72" i="2"/>
  <c r="AQ66" i="4" s="1"/>
  <c r="AQ69" i="2"/>
  <c r="AQ66" i="2"/>
  <c r="AQ68" i="2"/>
  <c r="AT81" i="4"/>
  <c r="AU49" i="2"/>
  <c r="AP93" i="4"/>
  <c r="AP61" i="4"/>
  <c r="AS86" i="4"/>
  <c r="AS82" i="4" s="1"/>
  <c r="AS50" i="4"/>
  <c r="AS52" i="4" s="1"/>
  <c r="AS21" i="6" s="1"/>
  <c r="AT58" i="2"/>
  <c r="AP95" i="4"/>
  <c r="AP63" i="4"/>
  <c r="AL32" i="2"/>
  <c r="AL9" i="4"/>
  <c r="AM23" i="2"/>
  <c r="AL10" i="4"/>
  <c r="AS78" i="4"/>
  <c r="AS36" i="4"/>
  <c r="AT46" i="2"/>
  <c r="AQ17" i="6"/>
  <c r="AE6" i="8"/>
  <c r="AE14" i="8" s="1"/>
  <c r="AE25" i="8" s="1"/>
  <c r="AE41" i="8" s="1"/>
  <c r="AE36" i="6"/>
  <c r="AR40" i="4"/>
  <c r="AN22" i="6"/>
  <c r="AN68" i="4"/>
  <c r="AP89" i="4"/>
  <c r="AP57" i="4"/>
  <c r="AQ20" i="6"/>
  <c r="AQ41" i="4"/>
  <c r="X35" i="7"/>
  <c r="X37" i="7" s="1"/>
  <c r="X38" i="7" s="1"/>
  <c r="BV33" i="7"/>
  <c r="BV35" i="7" s="1"/>
  <c r="BV37" i="7" s="1"/>
  <c r="BV38" i="7" s="1"/>
  <c r="AS76" i="4"/>
  <c r="AT44" i="2"/>
  <c r="AS34" i="4"/>
  <c r="AS40" i="4" s="1"/>
  <c r="AH11" i="6"/>
  <c r="AH12" i="6" s="1"/>
  <c r="AB8" i="7"/>
  <c r="AA9" i="7"/>
  <c r="AA20" i="7" s="1"/>
  <c r="AM51" i="2"/>
  <c r="AP91" i="4"/>
  <c r="AP59" i="4"/>
  <c r="AK73" i="4"/>
  <c r="AK72" i="4" s="1"/>
  <c r="AS17" i="4"/>
  <c r="AT28" i="2"/>
  <c r="AR75" i="4"/>
  <c r="AI13" i="4"/>
  <c r="AI6" i="4"/>
  <c r="AI9" i="6" s="1"/>
  <c r="AI11" i="6" s="1"/>
  <c r="AI12" i="6" s="1"/>
  <c r="AK23" i="4" l="1"/>
  <c r="AI25" i="6"/>
  <c r="AI13" i="6"/>
  <c r="AK7" i="6"/>
  <c r="AK7" i="4"/>
  <c r="AK17" i="3"/>
  <c r="AC6" i="8"/>
  <c r="AC36" i="6"/>
  <c r="AU28" i="2"/>
  <c r="AT17" i="4"/>
  <c r="AA42" i="8"/>
  <c r="AA43" i="8" s="1"/>
  <c r="Z33" i="7"/>
  <c r="Z35" i="7" s="1"/>
  <c r="Z37" i="7" s="1"/>
  <c r="Z38" i="7" s="1"/>
  <c r="AL97" i="4"/>
  <c r="AL43" i="4" s="1"/>
  <c r="AL71" i="4"/>
  <c r="AL12" i="4"/>
  <c r="AL10" i="6" s="1"/>
  <c r="AC8" i="7"/>
  <c r="AB9" i="7"/>
  <c r="AB20" i="7" s="1"/>
  <c r="AQ94" i="4"/>
  <c r="AQ62" i="4"/>
  <c r="AL22" i="4"/>
  <c r="AL23" i="4" s="1"/>
  <c r="AM32" i="2"/>
  <c r="AM25" i="4"/>
  <c r="AN36" i="2"/>
  <c r="AO22" i="6"/>
  <c r="AO68" i="4"/>
  <c r="BW97" i="4"/>
  <c r="AJ43" i="4"/>
  <c r="AJ44" i="4"/>
  <c r="AT76" i="4"/>
  <c r="AU44" i="2"/>
  <c r="AT34" i="4"/>
  <c r="AS75" i="4"/>
  <c r="AQ96" i="4"/>
  <c r="AQ64" i="4"/>
  <c r="AK29" i="4"/>
  <c r="AK30" i="4" s="1"/>
  <c r="AJ6" i="4"/>
  <c r="AJ9" i="6" s="1"/>
  <c r="AJ11" i="6" s="1"/>
  <c r="AJ12" i="6" s="1"/>
  <c r="AJ13" i="4"/>
  <c r="AL20" i="4"/>
  <c r="AL26" i="4"/>
  <c r="AL28" i="4" s="1"/>
  <c r="AL29" i="4" s="1"/>
  <c r="AL19" i="6" s="1"/>
  <c r="AL18" i="6" s="1"/>
  <c r="AR6" i="6"/>
  <c r="AR72" i="2"/>
  <c r="AR66" i="4" s="1"/>
  <c r="AR65" i="2"/>
  <c r="AR64" i="2"/>
  <c r="AS9" i="3"/>
  <c r="AS11" i="3" s="1"/>
  <c r="AR71" i="2"/>
  <c r="AR65" i="4" s="1"/>
  <c r="AR68" i="2"/>
  <c r="AR70" i="2"/>
  <c r="AR69" i="2"/>
  <c r="AR66" i="2"/>
  <c r="AR63" i="2"/>
  <c r="AR67" i="2"/>
  <c r="AR20" i="6"/>
  <c r="AR41" i="4"/>
  <c r="AQ92" i="4"/>
  <c r="AQ60" i="4"/>
  <c r="AK15" i="6"/>
  <c r="AM18" i="4"/>
  <c r="AM19" i="4" s="1"/>
  <c r="AN29" i="2"/>
  <c r="AM6" i="3"/>
  <c r="AM73" i="4" s="1"/>
  <c r="AM72" i="4" s="1"/>
  <c r="AQ91" i="4"/>
  <c r="AQ59" i="4"/>
  <c r="AF31" i="6"/>
  <c r="AF26" i="6"/>
  <c r="AU79" i="4"/>
  <c r="AV47" i="2"/>
  <c r="AU37" i="4"/>
  <c r="AK10" i="6"/>
  <c r="AN23" i="2"/>
  <c r="AM9" i="4"/>
  <c r="AM10" i="4"/>
  <c r="AS20" i="6"/>
  <c r="AS41" i="4"/>
  <c r="AQ95" i="4"/>
  <c r="AQ63" i="4"/>
  <c r="AK97" i="4"/>
  <c r="AT86" i="4"/>
  <c r="AT82" i="4" s="1"/>
  <c r="AU58" i="2"/>
  <c r="AT50" i="4"/>
  <c r="AT52" i="4" s="1"/>
  <c r="AT21" i="6" s="1"/>
  <c r="BG83" i="4"/>
  <c r="BH55" i="2"/>
  <c r="BG47" i="4"/>
  <c r="AX14" i="2"/>
  <c r="AW10" i="3"/>
  <c r="BF84" i="4"/>
  <c r="BG56" i="2"/>
  <c r="BF48" i="4"/>
  <c r="AG32" i="6"/>
  <c r="AG35" i="6"/>
  <c r="AH25" i="6"/>
  <c r="AH13" i="6"/>
  <c r="AM11" i="2"/>
  <c r="AL13" i="3"/>
  <c r="AL16" i="3"/>
  <c r="AP67" i="4"/>
  <c r="AU81" i="4"/>
  <c r="AV49" i="2"/>
  <c r="AT77" i="4"/>
  <c r="AU45" i="2"/>
  <c r="AT35" i="4"/>
  <c r="AT87" i="4"/>
  <c r="AU59" i="2"/>
  <c r="AT51" i="4"/>
  <c r="AT78" i="4"/>
  <c r="AU46" i="2"/>
  <c r="AT36" i="4"/>
  <c r="AQ90" i="4"/>
  <c r="AQ58" i="4"/>
  <c r="BG85" i="4"/>
  <c r="BH57" i="2"/>
  <c r="BG49" i="4"/>
  <c r="AT80" i="4"/>
  <c r="AU48" i="2"/>
  <c r="AQ93" i="4"/>
  <c r="AQ61" i="4"/>
  <c r="AR17" i="6"/>
  <c r="AS55" i="4"/>
  <c r="AT61" i="2"/>
  <c r="AP88" i="4"/>
  <c r="AN51" i="2"/>
  <c r="AQ89" i="4"/>
  <c r="AQ57" i="4"/>
  <c r="AQ67" i="4" s="1"/>
  <c r="AM52" i="2"/>
  <c r="AJ13" i="6" l="1"/>
  <c r="BH85" i="4"/>
  <c r="BI57" i="2"/>
  <c r="BH49" i="4"/>
  <c r="AO23" i="2"/>
  <c r="AN9" i="4"/>
  <c r="AN10" i="4"/>
  <c r="AS6" i="6"/>
  <c r="AS70" i="2"/>
  <c r="AT9" i="3"/>
  <c r="AT11" i="3" s="1"/>
  <c r="AS71" i="2"/>
  <c r="AS65" i="4" s="1"/>
  <c r="AS68" i="2"/>
  <c r="AS65" i="2"/>
  <c r="AS67" i="2"/>
  <c r="AS69" i="2"/>
  <c r="AS66" i="2"/>
  <c r="AS63" i="2"/>
  <c r="AS72" i="2"/>
  <c r="AS66" i="4" s="1"/>
  <c r="AS64" i="2"/>
  <c r="AY14" i="2"/>
  <c r="AX10" i="3"/>
  <c r="AR90" i="4"/>
  <c r="AR58" i="4"/>
  <c r="AN25" i="4"/>
  <c r="AO36" i="2"/>
  <c r="AT40" i="4"/>
  <c r="AK6" i="4"/>
  <c r="AK13" i="4"/>
  <c r="AU76" i="4"/>
  <c r="AV44" i="2"/>
  <c r="AU34" i="4"/>
  <c r="AU40" i="4" s="1"/>
  <c r="AC9" i="7"/>
  <c r="AC20" i="7" s="1"/>
  <c r="AD8" i="7"/>
  <c r="AO51" i="2"/>
  <c r="AM12" i="4"/>
  <c r="AM71" i="4"/>
  <c r="AM97" i="4" s="1"/>
  <c r="AR94" i="4"/>
  <c r="AR62" i="4"/>
  <c r="AT55" i="4"/>
  <c r="AU61" i="2"/>
  <c r="AU86" i="4"/>
  <c r="AV58" i="2"/>
  <c r="AU50" i="4"/>
  <c r="AU52" i="4" s="1"/>
  <c r="AU21" i="6" s="1"/>
  <c r="AH31" i="6"/>
  <c r="AH26" i="6"/>
  <c r="AU87" i="4"/>
  <c r="AV59" i="2"/>
  <c r="AU51" i="4"/>
  <c r="AK43" i="4"/>
  <c r="AK44" i="4"/>
  <c r="AV79" i="4"/>
  <c r="AV37" i="4"/>
  <c r="AW47" i="2"/>
  <c r="AR91" i="4"/>
  <c r="AR59" i="4"/>
  <c r="AT75" i="4"/>
  <c r="AG6" i="8"/>
  <c r="AG14" i="8" s="1"/>
  <c r="AG25" i="8" s="1"/>
  <c r="AG41" i="8" s="1"/>
  <c r="AG36" i="6"/>
  <c r="AI26" i="6"/>
  <c r="AI31" i="6"/>
  <c r="AQ22" i="6"/>
  <c r="AQ68" i="4"/>
  <c r="AU17" i="4"/>
  <c r="AV28" i="2"/>
  <c r="AR96" i="4"/>
  <c r="AR64" i="4"/>
  <c r="AP22" i="6"/>
  <c r="AP68" i="4"/>
  <c r="AN32" i="2"/>
  <c r="AL7" i="6"/>
  <c r="AL7" i="4"/>
  <c r="AL17" i="3"/>
  <c r="AS17" i="6"/>
  <c r="AJ16" i="6"/>
  <c r="AJ23" i="6" s="1"/>
  <c r="AJ25" i="6" s="1"/>
  <c r="AJ53" i="4"/>
  <c r="AN52" i="2"/>
  <c r="AU80" i="4"/>
  <c r="AV48" i="2"/>
  <c r="AF35" i="6"/>
  <c r="AF32" i="6"/>
  <c r="AR93" i="4"/>
  <c r="AR61" i="4"/>
  <c r="AK19" i="6"/>
  <c r="BH83" i="4"/>
  <c r="BI55" i="2"/>
  <c r="BH47" i="4"/>
  <c r="AC14" i="8"/>
  <c r="AC25" i="8" s="1"/>
  <c r="AC41" i="8" s="1"/>
  <c r="AU78" i="4"/>
  <c r="AV46" i="2"/>
  <c r="AU36" i="4"/>
  <c r="AL15" i="6"/>
  <c r="AL30" i="4"/>
  <c r="AB42" i="8"/>
  <c r="AB43" i="8" s="1"/>
  <c r="AA33" i="7"/>
  <c r="AA35" i="7" s="1"/>
  <c r="AA37" i="7" s="1"/>
  <c r="AA38" i="7" s="1"/>
  <c r="AV81" i="4"/>
  <c r="AW49" i="2"/>
  <c r="AR95" i="4"/>
  <c r="AR63" i="4"/>
  <c r="AQ88" i="4"/>
  <c r="AN18" i="4"/>
  <c r="AN19" i="4" s="1"/>
  <c r="AO29" i="2"/>
  <c r="AN6" i="3"/>
  <c r="AN73" i="4" s="1"/>
  <c r="AN72" i="4" s="1"/>
  <c r="AM26" i="4"/>
  <c r="AM28" i="4" s="1"/>
  <c r="AM20" i="4"/>
  <c r="AN11" i="2"/>
  <c r="AM13" i="3"/>
  <c r="AM22" i="4" s="1"/>
  <c r="AM16" i="3"/>
  <c r="AL16" i="6"/>
  <c r="AL53" i="4"/>
  <c r="AL44" i="4"/>
  <c r="AU77" i="4"/>
  <c r="AV45" i="2"/>
  <c r="AU35" i="4"/>
  <c r="BG84" i="4"/>
  <c r="BH56" i="2"/>
  <c r="BG48" i="4"/>
  <c r="AR89" i="4"/>
  <c r="AR57" i="4"/>
  <c r="AR92" i="4"/>
  <c r="AR60" i="4"/>
  <c r="AJ26" i="6" l="1"/>
  <c r="AJ31" i="6"/>
  <c r="AM43" i="4"/>
  <c r="AM44" i="4"/>
  <c r="AM23" i="4"/>
  <c r="AM15" i="6" s="1"/>
  <c r="AU20" i="6"/>
  <c r="AU41" i="4"/>
  <c r="AW79" i="4"/>
  <c r="AW37" i="4"/>
  <c r="AX47" i="2"/>
  <c r="AS89" i="4"/>
  <c r="AS57" i="4"/>
  <c r="AO9" i="4"/>
  <c r="AP23" i="2"/>
  <c r="AO10" i="4"/>
  <c r="AK16" i="6"/>
  <c r="AK53" i="4"/>
  <c r="AK9" i="6"/>
  <c r="AS92" i="4"/>
  <c r="AS60" i="4"/>
  <c r="AU55" i="4"/>
  <c r="AV61" i="2"/>
  <c r="BH84" i="4"/>
  <c r="BI56" i="2"/>
  <c r="BH48" i="4"/>
  <c r="AT17" i="6"/>
  <c r="AN71" i="4"/>
  <c r="AN12" i="4"/>
  <c r="AN10" i="6" s="1"/>
  <c r="AW81" i="4"/>
  <c r="AX49" i="2"/>
  <c r="AM10" i="6"/>
  <c r="AT20" i="6"/>
  <c r="AT41" i="4"/>
  <c r="AS95" i="4"/>
  <c r="AS63" i="4"/>
  <c r="AO18" i="4"/>
  <c r="AO19" i="4" s="1"/>
  <c r="AP29" i="2"/>
  <c r="AO6" i="3"/>
  <c r="AO73" i="4" s="1"/>
  <c r="AO72" i="4" s="1"/>
  <c r="AS90" i="4"/>
  <c r="AS58" i="4"/>
  <c r="AP51" i="2"/>
  <c r="AS93" i="4"/>
  <c r="AS61" i="4"/>
  <c r="AV76" i="4"/>
  <c r="AW44" i="2"/>
  <c r="AV34" i="4"/>
  <c r="AO52" i="2"/>
  <c r="AK18" i="6"/>
  <c r="AW59" i="2"/>
  <c r="AV87" i="4"/>
  <c r="AV51" i="4"/>
  <c r="AI32" i="6"/>
  <c r="AI35" i="6"/>
  <c r="AP36" i="2"/>
  <c r="AO25" i="4"/>
  <c r="AM7" i="6"/>
  <c r="AM7" i="4"/>
  <c r="AM17" i="3"/>
  <c r="AB33" i="7"/>
  <c r="AB35" i="7" s="1"/>
  <c r="AB37" i="7" s="1"/>
  <c r="AB38" i="7" s="1"/>
  <c r="AC42" i="8"/>
  <c r="AC43" i="8" s="1"/>
  <c r="AL6" i="4"/>
  <c r="AL9" i="6" s="1"/>
  <c r="AL11" i="6" s="1"/>
  <c r="AL12" i="6" s="1"/>
  <c r="AL13" i="4"/>
  <c r="AS91" i="4"/>
  <c r="AS59" i="4"/>
  <c r="BI85" i="4"/>
  <c r="BJ57" i="2"/>
  <c r="BI49" i="4"/>
  <c r="AU75" i="4"/>
  <c r="BI83" i="4"/>
  <c r="BJ55" i="2"/>
  <c r="BI47" i="4"/>
  <c r="AL23" i="6"/>
  <c r="AV17" i="4"/>
  <c r="AW28" i="2"/>
  <c r="AV77" i="4"/>
  <c r="AW45" i="2"/>
  <c r="AV35" i="4"/>
  <c r="AS94" i="4"/>
  <c r="AS62" i="4"/>
  <c r="AR67" i="4"/>
  <c r="AF36" i="6"/>
  <c r="AF6" i="8"/>
  <c r="AV86" i="4"/>
  <c r="AV50" i="4"/>
  <c r="AW58" i="2"/>
  <c r="AE8" i="7"/>
  <c r="AD9" i="7"/>
  <c r="AD20" i="7" s="1"/>
  <c r="AT6" i="6"/>
  <c r="AT68" i="2"/>
  <c r="AU9" i="3"/>
  <c r="AU11" i="3" s="1"/>
  <c r="AT67" i="2"/>
  <c r="AT71" i="2"/>
  <c r="AT65" i="4" s="1"/>
  <c r="AT65" i="2"/>
  <c r="AT70" i="2"/>
  <c r="AT72" i="2"/>
  <c r="AT66" i="4" s="1"/>
  <c r="AT69" i="2"/>
  <c r="AT66" i="2"/>
  <c r="AT63" i="2"/>
  <c r="AT64" i="2"/>
  <c r="AN97" i="4"/>
  <c r="AN43" i="4" s="1"/>
  <c r="AZ14" i="2"/>
  <c r="AY10" i="3"/>
  <c r="AN26" i="4"/>
  <c r="AN28" i="4" s="1"/>
  <c r="AN29" i="4" s="1"/>
  <c r="AN19" i="6" s="1"/>
  <c r="AN18" i="6" s="1"/>
  <c r="AN20" i="4"/>
  <c r="AH32" i="6"/>
  <c r="AH35" i="6"/>
  <c r="AN13" i="3"/>
  <c r="AO11" i="2"/>
  <c r="AN16" i="3"/>
  <c r="AN22" i="4"/>
  <c r="AN23" i="4" s="1"/>
  <c r="AO32" i="2"/>
  <c r="AR88" i="4"/>
  <c r="AM29" i="4"/>
  <c r="AV78" i="4"/>
  <c r="AW46" i="2"/>
  <c r="AV36" i="4"/>
  <c r="AV80" i="4"/>
  <c r="AW48" i="2"/>
  <c r="AU82" i="4"/>
  <c r="AS96" i="4"/>
  <c r="AS64" i="4"/>
  <c r="AL13" i="6" l="1"/>
  <c r="AL25" i="6"/>
  <c r="AN53" i="4"/>
  <c r="AT90" i="4"/>
  <c r="AT58" i="4"/>
  <c r="AW77" i="4"/>
  <c r="AX45" i="2"/>
  <c r="AW35" i="4"/>
  <c r="AT96" i="4"/>
  <c r="AT64" i="4"/>
  <c r="AO71" i="4"/>
  <c r="AO12" i="4"/>
  <c r="AO10" i="6" s="1"/>
  <c r="BA14" i="2"/>
  <c r="AZ10" i="3"/>
  <c r="AO97" i="4"/>
  <c r="AO43" i="4" s="1"/>
  <c r="AP18" i="4"/>
  <c r="AP19" i="4" s="1"/>
  <c r="AQ29" i="2"/>
  <c r="AP6" i="3"/>
  <c r="AP73" i="4" s="1"/>
  <c r="AP72" i="4" s="1"/>
  <c r="AC33" i="7"/>
  <c r="AC35" i="7" s="1"/>
  <c r="AC37" i="7" s="1"/>
  <c r="AC38" i="7" s="1"/>
  <c r="AD42" i="8"/>
  <c r="AD43" i="8" s="1"/>
  <c r="AP9" i="4"/>
  <c r="AQ23" i="2"/>
  <c r="AP10" i="4"/>
  <c r="AT94" i="4"/>
  <c r="AT62" i="4"/>
  <c r="AT92" i="4"/>
  <c r="AT60" i="4"/>
  <c r="AV40" i="4"/>
  <c r="AM6" i="4"/>
  <c r="AM9" i="6" s="1"/>
  <c r="AM11" i="6" s="1"/>
  <c r="AM12" i="6" s="1"/>
  <c r="AM13" i="4"/>
  <c r="AV55" i="4"/>
  <c r="AW61" i="2"/>
  <c r="AT91" i="4"/>
  <c r="AT59" i="4"/>
  <c r="BJ83" i="4"/>
  <c r="BK55" i="2"/>
  <c r="BJ47" i="4"/>
  <c r="AV75" i="4"/>
  <c r="BX75" i="4" s="1"/>
  <c r="AU17" i="6"/>
  <c r="AM19" i="6"/>
  <c r="AO20" i="4"/>
  <c r="AO26" i="4"/>
  <c r="AO28" i="4" s="1"/>
  <c r="AO29" i="4" s="1"/>
  <c r="AO19" i="6" s="1"/>
  <c r="AO18" i="6" s="1"/>
  <c r="AW86" i="4"/>
  <c r="AW82" i="4" s="1"/>
  <c r="AX58" i="2"/>
  <c r="AW50" i="4"/>
  <c r="AW52" i="4" s="1"/>
  <c r="BI84" i="4"/>
  <c r="BJ56" i="2"/>
  <c r="BI48" i="4"/>
  <c r="AH6" i="8"/>
  <c r="AH14" i="8" s="1"/>
  <c r="AH25" i="8" s="1"/>
  <c r="AH41" i="8" s="1"/>
  <c r="AH36" i="6"/>
  <c r="AM30" i="4"/>
  <c r="AS67" i="4"/>
  <c r="AM16" i="6"/>
  <c r="AM53" i="4"/>
  <c r="AT89" i="4"/>
  <c r="AT57" i="4"/>
  <c r="AN7" i="6"/>
  <c r="AN7" i="4"/>
  <c r="AN17" i="3"/>
  <c r="AW17" i="4"/>
  <c r="AX28" i="2"/>
  <c r="AT95" i="4"/>
  <c r="AT63" i="4"/>
  <c r="AP52" i="2"/>
  <c r="AN44" i="4"/>
  <c r="AN16" i="6" s="1"/>
  <c r="AV82" i="4"/>
  <c r="BX82" i="4" s="1"/>
  <c r="AW80" i="4"/>
  <c r="AX48" i="2"/>
  <c r="AF14" i="8"/>
  <c r="AF25" i="8" s="1"/>
  <c r="AF41" i="8" s="1"/>
  <c r="AW76" i="4"/>
  <c r="AX44" i="2"/>
  <c r="AW34" i="4"/>
  <c r="AW78" i="4"/>
  <c r="AW36" i="4"/>
  <c r="AX46" i="2"/>
  <c r="AN15" i="6"/>
  <c r="AN30" i="4"/>
  <c r="AT93" i="4"/>
  <c r="AT61" i="4"/>
  <c r="AQ36" i="2"/>
  <c r="AP25" i="4"/>
  <c r="AX81" i="4"/>
  <c r="AY49" i="2"/>
  <c r="AS88" i="4"/>
  <c r="AJ35" i="6"/>
  <c r="AJ32" i="6"/>
  <c r="AP32" i="2"/>
  <c r="AW87" i="4"/>
  <c r="AX59" i="2"/>
  <c r="AW51" i="4"/>
  <c r="AE9" i="7"/>
  <c r="AE20" i="7" s="1"/>
  <c r="AF8" i="7"/>
  <c r="AP11" i="2"/>
  <c r="AO13" i="3"/>
  <c r="AO22" i="4" s="1"/>
  <c r="AO23" i="4" s="1"/>
  <c r="AO16" i="3"/>
  <c r="AR22" i="6"/>
  <c r="AR68" i="4"/>
  <c r="AI6" i="8"/>
  <c r="AI14" i="8" s="1"/>
  <c r="AI25" i="8" s="1"/>
  <c r="AI41" i="8" s="1"/>
  <c r="AI36" i="6"/>
  <c r="AQ51" i="2"/>
  <c r="AK23" i="6"/>
  <c r="AV52" i="4"/>
  <c r="AV21" i="6" s="1"/>
  <c r="AU6" i="6"/>
  <c r="AU64" i="2"/>
  <c r="AV9" i="3"/>
  <c r="AV11" i="3" s="1"/>
  <c r="AU68" i="2"/>
  <c r="AU65" i="2"/>
  <c r="AU70" i="2"/>
  <c r="AU72" i="2"/>
  <c r="AU66" i="4" s="1"/>
  <c r="AU67" i="2"/>
  <c r="AU66" i="2"/>
  <c r="AU63" i="2"/>
  <c r="AU71" i="2"/>
  <c r="AU65" i="4" s="1"/>
  <c r="AU69" i="2"/>
  <c r="BJ85" i="4"/>
  <c r="BK57" i="2"/>
  <c r="BJ49" i="4"/>
  <c r="AK11" i="6"/>
  <c r="AX79" i="4"/>
  <c r="AY47" i="2"/>
  <c r="AX37" i="4"/>
  <c r="AM13" i="6" l="1"/>
  <c r="AO15" i="6"/>
  <c r="AO30" i="4"/>
  <c r="AX17" i="4"/>
  <c r="AY28" i="2"/>
  <c r="AP20" i="4"/>
  <c r="AP26" i="4"/>
  <c r="AP28" i="4" s="1"/>
  <c r="AV6" i="6"/>
  <c r="BX6" i="6" s="1"/>
  <c r="AW9" i="3"/>
  <c r="AW11" i="3" s="1"/>
  <c r="AV71" i="2"/>
  <c r="AV65" i="4" s="1"/>
  <c r="AV64" i="2"/>
  <c r="AV68" i="2"/>
  <c r="AV65" i="2"/>
  <c r="AV72" i="2"/>
  <c r="AV66" i="4" s="1"/>
  <c r="AV70" i="2"/>
  <c r="AV67" i="2"/>
  <c r="AV69" i="2"/>
  <c r="AV66" i="2"/>
  <c r="AV63" i="2"/>
  <c r="AW55" i="4"/>
  <c r="AX61" i="2"/>
  <c r="AW75" i="4"/>
  <c r="AV17" i="6"/>
  <c r="AQ11" i="2"/>
  <c r="AP13" i="3"/>
  <c r="AP22" i="4" s="1"/>
  <c r="AP23" i="4" s="1"/>
  <c r="AP16" i="3"/>
  <c r="AX80" i="4"/>
  <c r="AY48" i="2"/>
  <c r="AO16" i="6"/>
  <c r="AO53" i="4"/>
  <c r="BB14" i="2"/>
  <c r="BA10" i="3"/>
  <c r="AU95" i="4"/>
  <c r="AU63" i="4"/>
  <c r="AX76" i="4"/>
  <c r="AY44" i="2"/>
  <c r="AX34" i="4"/>
  <c r="AS22" i="6"/>
  <c r="AS68" i="4"/>
  <c r="BK85" i="4"/>
  <c r="BL57" i="2"/>
  <c r="BK49" i="4"/>
  <c r="AP97" i="4"/>
  <c r="AP43" i="4" s="1"/>
  <c r="AR36" i="2"/>
  <c r="AQ25" i="4"/>
  <c r="AU89" i="4"/>
  <c r="AU57" i="4"/>
  <c r="AG8" i="7"/>
  <c r="AF9" i="7"/>
  <c r="AF20" i="7" s="1"/>
  <c r="AV20" i="6"/>
  <c r="AV41" i="4"/>
  <c r="AU92" i="4"/>
  <c r="AU60" i="4"/>
  <c r="AU93" i="4"/>
  <c r="AU61" i="4"/>
  <c r="AN13" i="4"/>
  <c r="AN6" i="4"/>
  <c r="AN9" i="6" s="1"/>
  <c r="AN11" i="6" s="1"/>
  <c r="AX87" i="4"/>
  <c r="AY59" i="2"/>
  <c r="AX51" i="4"/>
  <c r="AN23" i="6"/>
  <c r="AN12" i="6"/>
  <c r="BJ84" i="4"/>
  <c r="BK56" i="2"/>
  <c r="BJ48" i="4"/>
  <c r="AU96" i="4"/>
  <c r="AU64" i="4"/>
  <c r="AR51" i="2"/>
  <c r="AX78" i="4"/>
  <c r="AX36" i="4"/>
  <c r="AY46" i="2"/>
  <c r="AT67" i="4"/>
  <c r="AO7" i="6"/>
  <c r="AO17" i="3"/>
  <c r="AO7" i="4"/>
  <c r="AQ18" i="4"/>
  <c r="AQ19" i="4" s="1"/>
  <c r="AR29" i="2"/>
  <c r="AQ6" i="3"/>
  <c r="AQ73" i="4" s="1"/>
  <c r="AQ72" i="4" s="1"/>
  <c r="AY79" i="4"/>
  <c r="AZ47" i="2"/>
  <c r="AY37" i="4"/>
  <c r="AU90" i="4"/>
  <c r="AU58" i="4"/>
  <c r="AY81" i="4"/>
  <c r="AZ49" i="2"/>
  <c r="AT88" i="4"/>
  <c r="AW21" i="6"/>
  <c r="BK83" i="4"/>
  <c r="BL55" i="2"/>
  <c r="BK47" i="4"/>
  <c r="AU91" i="4"/>
  <c r="AU59" i="4"/>
  <c r="AQ32" i="2"/>
  <c r="AX86" i="4"/>
  <c r="AX82" i="4" s="1"/>
  <c r="AX50" i="4"/>
  <c r="AY58" i="2"/>
  <c r="AP71" i="4"/>
  <c r="AP12" i="4"/>
  <c r="AL26" i="6"/>
  <c r="AL31" i="6"/>
  <c r="AU94" i="4"/>
  <c r="AU62" i="4"/>
  <c r="AQ52" i="2"/>
  <c r="AR23" i="2"/>
  <c r="AQ9" i="4"/>
  <c r="AQ10" i="4"/>
  <c r="AD33" i="7"/>
  <c r="AD35" i="7" s="1"/>
  <c r="AD37" i="7" s="1"/>
  <c r="AD38" i="7" s="1"/>
  <c r="AE42" i="8"/>
  <c r="AE43" i="8" s="1"/>
  <c r="AM18" i="6"/>
  <c r="AK12" i="6"/>
  <c r="AJ6" i="8"/>
  <c r="AJ14" i="8" s="1"/>
  <c r="AJ25" i="8" s="1"/>
  <c r="AJ41" i="8" s="1"/>
  <c r="AJ36" i="6"/>
  <c r="AW40" i="4"/>
  <c r="AO44" i="4"/>
  <c r="AX77" i="4"/>
  <c r="AY45" i="2"/>
  <c r="AX35" i="4"/>
  <c r="AN25" i="6" l="1"/>
  <c r="AN13" i="6"/>
  <c r="AV95" i="4"/>
  <c r="AV63" i="4"/>
  <c r="AP15" i="6"/>
  <c r="AP30" i="4"/>
  <c r="AX55" i="4"/>
  <c r="AY61" i="2"/>
  <c r="AY80" i="4"/>
  <c r="AZ48" i="2"/>
  <c r="AV93" i="4"/>
  <c r="AV61" i="4"/>
  <c r="AZ28" i="2"/>
  <c r="AY17" i="4"/>
  <c r="AR25" i="4"/>
  <c r="AS36" i="2"/>
  <c r="AM23" i="6"/>
  <c r="AG9" i="7"/>
  <c r="AG20" i="7" s="1"/>
  <c r="AH8" i="7"/>
  <c r="AV96" i="4"/>
  <c r="AV64" i="4"/>
  <c r="AW17" i="6"/>
  <c r="AP10" i="6"/>
  <c r="BL85" i="4"/>
  <c r="BM57" i="2"/>
  <c r="BL49" i="4"/>
  <c r="AT22" i="6"/>
  <c r="AT68" i="4"/>
  <c r="AP7" i="6"/>
  <c r="AP17" i="3"/>
  <c r="AP7" i="4"/>
  <c r="BL83" i="4"/>
  <c r="BM55" i="2"/>
  <c r="BL47" i="4"/>
  <c r="AZ81" i="4"/>
  <c r="BA49" i="2"/>
  <c r="AX40" i="4"/>
  <c r="AY78" i="4"/>
  <c r="AY36" i="4"/>
  <c r="AZ46" i="2"/>
  <c r="AU88" i="4"/>
  <c r="AY76" i="4"/>
  <c r="AZ44" i="2"/>
  <c r="AY34" i="4"/>
  <c r="AR9" i="4"/>
  <c r="AS23" i="2"/>
  <c r="AR10" i="4"/>
  <c r="AR32" i="2"/>
  <c r="AX75" i="4"/>
  <c r="AR11" i="2"/>
  <c r="AQ13" i="3"/>
  <c r="AQ22" i="4" s="1"/>
  <c r="AQ23" i="4" s="1"/>
  <c r="AQ16" i="3"/>
  <c r="AV91" i="4"/>
  <c r="AV59" i="4"/>
  <c r="AO23" i="6"/>
  <c r="BK84" i="4"/>
  <c r="BL56" i="2"/>
  <c r="BK48" i="4"/>
  <c r="AV92" i="4"/>
  <c r="AV60" i="4"/>
  <c r="AE33" i="7"/>
  <c r="AE35" i="7" s="1"/>
  <c r="AE37" i="7" s="1"/>
  <c r="AE38" i="7" s="1"/>
  <c r="AF42" i="8"/>
  <c r="AF43" i="8" s="1"/>
  <c r="AY77" i="4"/>
  <c r="AZ45" i="2"/>
  <c r="AY35" i="4"/>
  <c r="AQ71" i="4"/>
  <c r="AQ12" i="4"/>
  <c r="AQ10" i="6" s="1"/>
  <c r="AY87" i="4"/>
  <c r="AZ59" i="2"/>
  <c r="AY51" i="4"/>
  <c r="AR52" i="2"/>
  <c r="AV94" i="4"/>
  <c r="AV62" i="4"/>
  <c r="AK25" i="6"/>
  <c r="AK13" i="6"/>
  <c r="AR18" i="4"/>
  <c r="AR19" i="4" s="1"/>
  <c r="AS29" i="2"/>
  <c r="AR6" i="3"/>
  <c r="AR73" i="4" s="1"/>
  <c r="AR72" i="4" s="1"/>
  <c r="BC14" i="2"/>
  <c r="BB10" i="3"/>
  <c r="AL32" i="6"/>
  <c r="AL35" i="6"/>
  <c r="AQ26" i="4"/>
  <c r="AQ28" i="4" s="1"/>
  <c r="AQ29" i="4" s="1"/>
  <c r="AQ19" i="6" s="1"/>
  <c r="AQ18" i="6" s="1"/>
  <c r="AQ20" i="4"/>
  <c r="AO13" i="4"/>
  <c r="AO6" i="4"/>
  <c r="AV89" i="4"/>
  <c r="AV57" i="4"/>
  <c r="AP29" i="4"/>
  <c r="AY86" i="4"/>
  <c r="AY82" i="4" s="1"/>
  <c r="AY50" i="4"/>
  <c r="AY52" i="4" s="1"/>
  <c r="AY21" i="6" s="1"/>
  <c r="AZ58" i="2"/>
  <c r="AX52" i="4"/>
  <c r="AU67" i="4"/>
  <c r="AW20" i="6"/>
  <c r="AW41" i="4"/>
  <c r="AP44" i="4"/>
  <c r="AP53" i="4" s="1"/>
  <c r="AZ79" i="4"/>
  <c r="AZ37" i="4"/>
  <c r="BA47" i="2"/>
  <c r="AS51" i="2"/>
  <c r="AV90" i="4"/>
  <c r="AV58" i="4"/>
  <c r="AQ97" i="4"/>
  <c r="AQ43" i="4" s="1"/>
  <c r="AW6" i="6"/>
  <c r="AW63" i="2"/>
  <c r="AW65" i="2"/>
  <c r="AW72" i="2"/>
  <c r="AW66" i="4" s="1"/>
  <c r="AW69" i="2"/>
  <c r="AW70" i="2"/>
  <c r="AW67" i="2"/>
  <c r="AX9" i="3"/>
  <c r="AX11" i="3" s="1"/>
  <c r="AW64" i="2"/>
  <c r="AW71" i="2"/>
  <c r="AW65" i="4" s="1"/>
  <c r="AW68" i="2"/>
  <c r="AW66" i="2"/>
  <c r="AZ78" i="4" l="1"/>
  <c r="AZ36" i="4"/>
  <c r="BA46" i="2"/>
  <c r="AR13" i="3"/>
  <c r="AS11" i="2"/>
  <c r="AR16" i="3"/>
  <c r="BA81" i="4"/>
  <c r="BB49" i="2"/>
  <c r="AT36" i="2"/>
  <c r="AS25" i="4"/>
  <c r="AG42" i="8"/>
  <c r="AG43" i="8" s="1"/>
  <c r="AF33" i="7"/>
  <c r="AF35" i="7" s="1"/>
  <c r="AF37" i="7" s="1"/>
  <c r="AF38" i="7" s="1"/>
  <c r="AZ86" i="4"/>
  <c r="AZ50" i="4"/>
  <c r="BA58" i="2"/>
  <c r="AS52" i="2"/>
  <c r="AQ7" i="6"/>
  <c r="AQ17" i="3"/>
  <c r="AQ7" i="4"/>
  <c r="BM85" i="4"/>
  <c r="BN57" i="2"/>
  <c r="BM49" i="4"/>
  <c r="AX21" i="6"/>
  <c r="AQ44" i="4"/>
  <c r="AQ16" i="6" s="1"/>
  <c r="AN26" i="6"/>
  <c r="AN31" i="6"/>
  <c r="AW89" i="4"/>
  <c r="AW57" i="4"/>
  <c r="AK31" i="6"/>
  <c r="AK26" i="6"/>
  <c r="AY55" i="4"/>
  <c r="AZ61" i="2"/>
  <c r="AQ15" i="6"/>
  <c r="AQ30" i="4"/>
  <c r="AX6" i="6"/>
  <c r="AX67" i="2"/>
  <c r="AX66" i="2"/>
  <c r="AX65" i="2"/>
  <c r="AX64" i="2"/>
  <c r="AX71" i="2"/>
  <c r="AX65" i="4" s="1"/>
  <c r="AX72" i="2"/>
  <c r="AX66" i="4" s="1"/>
  <c r="AX69" i="2"/>
  <c r="AY9" i="3"/>
  <c r="AY11" i="3" s="1"/>
  <c r="AX63" i="2"/>
  <c r="AX68" i="2"/>
  <c r="AX70" i="2"/>
  <c r="AW93" i="4"/>
  <c r="AW61" i="4"/>
  <c r="AR71" i="4"/>
  <c r="AR12" i="4"/>
  <c r="AR10" i="6" s="1"/>
  <c r="AW96" i="4"/>
  <c r="AW64" i="4"/>
  <c r="AT51" i="2"/>
  <c r="BL84" i="4"/>
  <c r="BM56" i="2"/>
  <c r="BL48" i="4"/>
  <c r="AS9" i="4"/>
  <c r="AT23" i="2"/>
  <c r="AS10" i="4"/>
  <c r="BM83" i="4"/>
  <c r="BN55" i="2"/>
  <c r="BM47" i="4"/>
  <c r="AZ77" i="4"/>
  <c r="BA45" i="2"/>
  <c r="AZ35" i="4"/>
  <c r="AW94" i="4"/>
  <c r="AW62" i="4"/>
  <c r="AU22" i="6"/>
  <c r="AU68" i="4"/>
  <c r="AW95" i="4"/>
  <c r="AW63" i="4"/>
  <c r="BD14" i="2"/>
  <c r="BC10" i="3"/>
  <c r="AZ87" i="4"/>
  <c r="BA59" i="2"/>
  <c r="AZ51" i="4"/>
  <c r="BA28" i="2"/>
  <c r="AZ17" i="4"/>
  <c r="AX17" i="6"/>
  <c r="AP16" i="6"/>
  <c r="AP19" i="6"/>
  <c r="AP13" i="4"/>
  <c r="AP6" i="4"/>
  <c r="AP9" i="6" s="1"/>
  <c r="AP11" i="6" s="1"/>
  <c r="AP12" i="6" s="1"/>
  <c r="BA79" i="4"/>
  <c r="BB47" i="2"/>
  <c r="BA37" i="4"/>
  <c r="AS18" i="4"/>
  <c r="AS19" i="4" s="1"/>
  <c r="AT29" i="2"/>
  <c r="AS6" i="3"/>
  <c r="AS73" i="4" s="1"/>
  <c r="AS72" i="4" s="1"/>
  <c r="AO9" i="6"/>
  <c r="AH9" i="7"/>
  <c r="AH20" i="7" s="1"/>
  <c r="AI8" i="7"/>
  <c r="AW92" i="4"/>
  <c r="AW60" i="4"/>
  <c r="AX20" i="6"/>
  <c r="AX41" i="4"/>
  <c r="AM25" i="6"/>
  <c r="AW90" i="4"/>
  <c r="AW58" i="4"/>
  <c r="AL6" i="8"/>
  <c r="AL14" i="8" s="1"/>
  <c r="AL25" i="8" s="1"/>
  <c r="AL41" i="8" s="1"/>
  <c r="AL36" i="6"/>
  <c r="AR22" i="4"/>
  <c r="AR23" i="4" s="1"/>
  <c r="AS32" i="2"/>
  <c r="AR97" i="4"/>
  <c r="AR43" i="4" s="1"/>
  <c r="AY40" i="4"/>
  <c r="AV67" i="4"/>
  <c r="AZ76" i="4"/>
  <c r="BA44" i="2"/>
  <c r="AZ34" i="4"/>
  <c r="AW91" i="4"/>
  <c r="AW59" i="4"/>
  <c r="AV88" i="4"/>
  <c r="AR20" i="4"/>
  <c r="AR26" i="4"/>
  <c r="AR28" i="4" s="1"/>
  <c r="AR29" i="4" s="1"/>
  <c r="AR19" i="6" s="1"/>
  <c r="AR18" i="6" s="1"/>
  <c r="AY75" i="4"/>
  <c r="AZ80" i="4"/>
  <c r="BA48" i="2"/>
  <c r="AP13" i="6" l="1"/>
  <c r="AX90" i="4"/>
  <c r="AX58" i="4"/>
  <c r="AW88" i="4"/>
  <c r="AQ13" i="4"/>
  <c r="AQ6" i="4"/>
  <c r="AQ9" i="6" s="1"/>
  <c r="AQ11" i="6" s="1"/>
  <c r="BB81" i="4"/>
  <c r="BC49" i="2"/>
  <c r="AR7" i="6"/>
  <c r="AR17" i="3"/>
  <c r="AR7" i="4"/>
  <c r="AT52" i="2"/>
  <c r="AZ75" i="4"/>
  <c r="BE14" i="2"/>
  <c r="BD10" i="3"/>
  <c r="BN83" i="4"/>
  <c r="BO55" i="2"/>
  <c r="BN47" i="4"/>
  <c r="AR44" i="4"/>
  <c r="AR16" i="6" s="1"/>
  <c r="BX88" i="4"/>
  <c r="BB79" i="4"/>
  <c r="BC47" i="2"/>
  <c r="BB37" i="4"/>
  <c r="BA87" i="4"/>
  <c r="BB59" i="2"/>
  <c r="BA51" i="4"/>
  <c r="AX92" i="4"/>
  <c r="AX60" i="4"/>
  <c r="AQ12" i="6"/>
  <c r="BA76" i="4"/>
  <c r="BB44" i="2"/>
  <c r="BA34" i="4"/>
  <c r="BA40" i="4" s="1"/>
  <c r="AX93" i="4"/>
  <c r="AX61" i="4"/>
  <c r="AS13" i="3"/>
  <c r="AT11" i="2"/>
  <c r="AS16" i="3"/>
  <c r="AV22" i="6"/>
  <c r="AV68" i="4"/>
  <c r="BA86" i="4"/>
  <c r="BA82" i="4" s="1"/>
  <c r="BB58" i="2"/>
  <c r="BA50" i="4"/>
  <c r="BA52" i="4" s="1"/>
  <c r="BA21" i="6" s="1"/>
  <c r="BA78" i="4"/>
  <c r="BB46" i="2"/>
  <c r="BA36" i="4"/>
  <c r="BA77" i="4"/>
  <c r="BB45" i="2"/>
  <c r="BA35" i="4"/>
  <c r="AZ40" i="4"/>
  <c r="AI9" i="7"/>
  <c r="AI20" i="7" s="1"/>
  <c r="AJ8" i="7"/>
  <c r="AP18" i="6"/>
  <c r="AS71" i="4"/>
  <c r="AS97" i="4" s="1"/>
  <c r="AS12" i="4"/>
  <c r="AS10" i="6" s="1"/>
  <c r="AX96" i="4"/>
  <c r="AX64" i="4"/>
  <c r="AZ52" i="4"/>
  <c r="AX94" i="4"/>
  <c r="AX62" i="4"/>
  <c r="AQ23" i="6"/>
  <c r="AZ82" i="4"/>
  <c r="AN35" i="6"/>
  <c r="AN32" i="6"/>
  <c r="AT25" i="4"/>
  <c r="AU36" i="2"/>
  <c r="AY20" i="6"/>
  <c r="AY41" i="4"/>
  <c r="BA80" i="4"/>
  <c r="BB48" i="2"/>
  <c r="AT9" i="4"/>
  <c r="AU23" i="2"/>
  <c r="AT10" i="4"/>
  <c r="AS22" i="4"/>
  <c r="AS23" i="4" s="1"/>
  <c r="AT32" i="2"/>
  <c r="AX89" i="4"/>
  <c r="AX57" i="4"/>
  <c r="AO11" i="6"/>
  <c r="AY6" i="6"/>
  <c r="AY70" i="2"/>
  <c r="AY69" i="2"/>
  <c r="AY68" i="2"/>
  <c r="AY67" i="2"/>
  <c r="AZ9" i="3"/>
  <c r="AZ11" i="3" s="1"/>
  <c r="AY72" i="2"/>
  <c r="AY66" i="4" s="1"/>
  <c r="AY66" i="2"/>
  <c r="AY64" i="2"/>
  <c r="AY63" i="2"/>
  <c r="AY71" i="2"/>
  <c r="AY65" i="4" s="1"/>
  <c r="AY65" i="2"/>
  <c r="AZ55" i="4"/>
  <c r="BA61" i="2"/>
  <c r="AW67" i="4"/>
  <c r="AM31" i="6"/>
  <c r="AM26" i="6"/>
  <c r="BM84" i="4"/>
  <c r="BN56" i="2"/>
  <c r="BM48" i="4"/>
  <c r="AX95" i="4"/>
  <c r="AX63" i="4"/>
  <c r="AY17" i="6"/>
  <c r="AH42" i="8"/>
  <c r="AH43" i="8" s="1"/>
  <c r="AG33" i="7"/>
  <c r="AG35" i="7" s="1"/>
  <c r="AG37" i="7" s="1"/>
  <c r="AG38" i="7" s="1"/>
  <c r="AQ53" i="4"/>
  <c r="AU51" i="2"/>
  <c r="AX91" i="4"/>
  <c r="AX59" i="4"/>
  <c r="AT18" i="4"/>
  <c r="AT19" i="4" s="1"/>
  <c r="AU29" i="2"/>
  <c r="AT6" i="3"/>
  <c r="AT73" i="4" s="1"/>
  <c r="AT72" i="4" s="1"/>
  <c r="AR30" i="4"/>
  <c r="AR15" i="6"/>
  <c r="AS20" i="4"/>
  <c r="AS26" i="4"/>
  <c r="AS28" i="4" s="1"/>
  <c r="AS29" i="4" s="1"/>
  <c r="AS19" i="6" s="1"/>
  <c r="AS18" i="6" s="1"/>
  <c r="BA17" i="4"/>
  <c r="BB28" i="2"/>
  <c r="AK35" i="6"/>
  <c r="AK32" i="6"/>
  <c r="BN85" i="4"/>
  <c r="BO57" i="2"/>
  <c r="BN49" i="4"/>
  <c r="AS43" i="4" l="1"/>
  <c r="AS44" i="4"/>
  <c r="BC81" i="4"/>
  <c r="BD49" i="2"/>
  <c r="BA20" i="6"/>
  <c r="BA41" i="4"/>
  <c r="BB61" i="2"/>
  <c r="BA55" i="4"/>
  <c r="BO85" i="4"/>
  <c r="BP57" i="2"/>
  <c r="BO49" i="4"/>
  <c r="AQ25" i="6"/>
  <c r="AQ13" i="6"/>
  <c r="BB80" i="4"/>
  <c r="BC48" i="2"/>
  <c r="BB78" i="4"/>
  <c r="BC46" i="2"/>
  <c r="BB36" i="4"/>
  <c r="BO83" i="4"/>
  <c r="BP55" i="2"/>
  <c r="BO47" i="4"/>
  <c r="AV36" i="2"/>
  <c r="AU25" i="4"/>
  <c r="BB76" i="4"/>
  <c r="BC44" i="2"/>
  <c r="BB34" i="4"/>
  <c r="BB40" i="4" s="1"/>
  <c r="AO12" i="6"/>
  <c r="AX88" i="4"/>
  <c r="AJ9" i="7"/>
  <c r="AK8" i="7"/>
  <c r="BW8" i="7"/>
  <c r="BF14" i="2"/>
  <c r="BE10" i="3"/>
  <c r="BA75" i="4"/>
  <c r="AK6" i="8"/>
  <c r="AK36" i="6"/>
  <c r="BN84" i="4"/>
  <c r="BO56" i="2"/>
  <c r="BN48" i="4"/>
  <c r="AY91" i="4"/>
  <c r="AY59" i="4"/>
  <c r="BB86" i="4"/>
  <c r="BB82" i="4" s="1"/>
  <c r="BB50" i="4"/>
  <c r="BB52" i="4" s="1"/>
  <c r="BB21" i="6" s="1"/>
  <c r="BC58" i="2"/>
  <c r="AX67" i="4"/>
  <c r="AY90" i="4"/>
  <c r="AY58" i="4"/>
  <c r="AT26" i="4"/>
  <c r="AT28" i="4" s="1"/>
  <c r="AT29" i="4" s="1"/>
  <c r="AT19" i="6" s="1"/>
  <c r="AT20" i="4"/>
  <c r="AY92" i="4"/>
  <c r="AY60" i="4"/>
  <c r="AT22" i="4"/>
  <c r="AT23" i="4" s="1"/>
  <c r="AU32" i="2"/>
  <c r="BB17" i="4"/>
  <c r="BC28" i="2"/>
  <c r="AN6" i="8"/>
  <c r="AN14" i="8" s="1"/>
  <c r="AN25" i="8" s="1"/>
  <c r="AN41" i="8" s="1"/>
  <c r="AN36" i="6"/>
  <c r="BB87" i="4"/>
  <c r="BC59" i="2"/>
  <c r="BB51" i="4"/>
  <c r="AU52" i="2"/>
  <c r="AT71" i="4"/>
  <c r="AT97" i="4" s="1"/>
  <c r="AT12" i="4"/>
  <c r="AT10" i="6" s="1"/>
  <c r="AZ20" i="6"/>
  <c r="AZ41" i="4"/>
  <c r="AS7" i="6"/>
  <c r="AS17" i="3"/>
  <c r="AS7" i="4"/>
  <c r="AI42" i="8"/>
  <c r="AI43" i="8" s="1"/>
  <c r="AH33" i="7"/>
  <c r="AH35" i="7" s="1"/>
  <c r="AH37" i="7" s="1"/>
  <c r="AH38" i="7" s="1"/>
  <c r="AZ17" i="6"/>
  <c r="AY89" i="4"/>
  <c r="AY57" i="4"/>
  <c r="AV29" i="2"/>
  <c r="AU18" i="4"/>
  <c r="AU19" i="4" s="1"/>
  <c r="AU6" i="3"/>
  <c r="AU73" i="4" s="1"/>
  <c r="AU72" i="4" s="1"/>
  <c r="AV51" i="2"/>
  <c r="AM35" i="6"/>
  <c r="AM32" i="6"/>
  <c r="AZ6" i="6"/>
  <c r="AZ70" i="2"/>
  <c r="AZ63" i="2"/>
  <c r="AZ72" i="2"/>
  <c r="AZ66" i="4" s="1"/>
  <c r="AZ71" i="2"/>
  <c r="AZ65" i="4" s="1"/>
  <c r="AZ68" i="2"/>
  <c r="AZ69" i="2"/>
  <c r="AZ66" i="2"/>
  <c r="BA9" i="3"/>
  <c r="BA11" i="3" s="1"/>
  <c r="AZ67" i="2"/>
  <c r="AZ64" i="2"/>
  <c r="AZ65" i="2"/>
  <c r="AU9" i="4"/>
  <c r="AV23" i="2"/>
  <c r="AU10" i="4"/>
  <c r="AT13" i="3"/>
  <c r="AU11" i="2"/>
  <c r="AT16" i="3"/>
  <c r="AP23" i="6"/>
  <c r="AY93" i="4"/>
  <c r="AY61" i="4"/>
  <c r="BB77" i="4"/>
  <c r="BC45" i="2"/>
  <c r="BB35" i="4"/>
  <c r="BC79" i="4"/>
  <c r="BC37" i="4"/>
  <c r="BD47" i="2"/>
  <c r="AS15" i="6"/>
  <c r="AS30" i="4"/>
  <c r="AW22" i="6"/>
  <c r="AW68" i="4"/>
  <c r="AY94" i="4"/>
  <c r="AY62" i="4"/>
  <c r="AR53" i="4"/>
  <c r="AR13" i="4"/>
  <c r="AR6" i="4"/>
  <c r="AR9" i="6" s="1"/>
  <c r="AY96" i="4"/>
  <c r="AY64" i="4"/>
  <c r="AR23" i="6"/>
  <c r="AY63" i="4"/>
  <c r="AY95" i="4"/>
  <c r="AZ21" i="6"/>
  <c r="AT43" i="4" l="1"/>
  <c r="AT44" i="4"/>
  <c r="AZ95" i="4"/>
  <c r="AZ63" i="4"/>
  <c r="AU26" i="4"/>
  <c r="AU28" i="4" s="1"/>
  <c r="AU29" i="4" s="1"/>
  <c r="AU19" i="6" s="1"/>
  <c r="AU18" i="6" s="1"/>
  <c r="AU20" i="4"/>
  <c r="BD28" i="2"/>
  <c r="BC17" i="4"/>
  <c r="BA17" i="6"/>
  <c r="AM6" i="8"/>
  <c r="AM14" i="8" s="1"/>
  <c r="AM25" i="8" s="1"/>
  <c r="AM41" i="8" s="1"/>
  <c r="AM36" i="6"/>
  <c r="BG14" i="2"/>
  <c r="BF10" i="3"/>
  <c r="AP25" i="6"/>
  <c r="AW29" i="2"/>
  <c r="AV18" i="4"/>
  <c r="AV19" i="4" s="1"/>
  <c r="AV6" i="3"/>
  <c r="AV73" i="4" s="1"/>
  <c r="AV72" i="4" s="1"/>
  <c r="AK9" i="7"/>
  <c r="AK20" i="7" s="1"/>
  <c r="AL8" i="7"/>
  <c r="BB55" i="4"/>
  <c r="BC61" i="2"/>
  <c r="AX22" i="6"/>
  <c r="AX68" i="4"/>
  <c r="BC86" i="4"/>
  <c r="BC50" i="4"/>
  <c r="BD58" i="2"/>
  <c r="AZ94" i="4"/>
  <c r="AZ62" i="4"/>
  <c r="AY67" i="4"/>
  <c r="AV32" i="2"/>
  <c r="AU22" i="4"/>
  <c r="AU23" i="4" s="1"/>
  <c r="AJ20" i="7"/>
  <c r="BW9" i="7"/>
  <c r="BW20" i="7" s="1"/>
  <c r="BC78" i="4"/>
  <c r="BC36" i="4"/>
  <c r="BD46" i="2"/>
  <c r="BP83" i="4"/>
  <c r="BQ55" i="2"/>
  <c r="BP47" i="4"/>
  <c r="AT7" i="6"/>
  <c r="AT7" i="4"/>
  <c r="AT17" i="3"/>
  <c r="AY88" i="4"/>
  <c r="AU97" i="4"/>
  <c r="AU43" i="4" s="1"/>
  <c r="AV11" i="2"/>
  <c r="AU13" i="3"/>
  <c r="AU16" i="3"/>
  <c r="BO84" i="4"/>
  <c r="BP56" i="2"/>
  <c r="BO48" i="4"/>
  <c r="AO25" i="6"/>
  <c r="AO13" i="6"/>
  <c r="BC80" i="4"/>
  <c r="BD48" i="2"/>
  <c r="BD81" i="4"/>
  <c r="BE49" i="2"/>
  <c r="AW51" i="2"/>
  <c r="AW36" i="2"/>
  <c r="AV25" i="4"/>
  <c r="BA6" i="6"/>
  <c r="BA65" i="2"/>
  <c r="BA69" i="2"/>
  <c r="BA66" i="2"/>
  <c r="BA63" i="2"/>
  <c r="BA67" i="2"/>
  <c r="BA64" i="2"/>
  <c r="BB9" i="3"/>
  <c r="BB11" i="3" s="1"/>
  <c r="BA72" i="2"/>
  <c r="BA66" i="4" s="1"/>
  <c r="BA71" i="2"/>
  <c r="BA65" i="4" s="1"/>
  <c r="BA68" i="2"/>
  <c r="BA70" i="2"/>
  <c r="AV52" i="2"/>
  <c r="BC77" i="4"/>
  <c r="BD45" i="2"/>
  <c r="BC35" i="4"/>
  <c r="AZ90" i="4"/>
  <c r="AZ58" i="4"/>
  <c r="AR11" i="6"/>
  <c r="AZ93" i="4"/>
  <c r="AZ61" i="4"/>
  <c r="AZ92" i="4"/>
  <c r="AZ60" i="4"/>
  <c r="BD79" i="4"/>
  <c r="BD37" i="4"/>
  <c r="BE47" i="2"/>
  <c r="AZ89" i="4"/>
  <c r="AZ57" i="4"/>
  <c r="AT15" i="6"/>
  <c r="AT30" i="4"/>
  <c r="BB20" i="6"/>
  <c r="BB41" i="4"/>
  <c r="AV9" i="4"/>
  <c r="AW23" i="2"/>
  <c r="AV10" i="4"/>
  <c r="AZ96" i="4"/>
  <c r="AZ64" i="4"/>
  <c r="AT18" i="6"/>
  <c r="AK14" i="8"/>
  <c r="AK25" i="8" s="1"/>
  <c r="AK41" i="8" s="1"/>
  <c r="BC76" i="4"/>
  <c r="BC75" i="4" s="1"/>
  <c r="BD44" i="2"/>
  <c r="BC34" i="4"/>
  <c r="BC40" i="4" s="1"/>
  <c r="AS16" i="6"/>
  <c r="AS23" i="6" s="1"/>
  <c r="AS53" i="4"/>
  <c r="AJ42" i="8"/>
  <c r="AJ43" i="8" s="1"/>
  <c r="AI33" i="7"/>
  <c r="AI35" i="7" s="1"/>
  <c r="AI37" i="7" s="1"/>
  <c r="AI38" i="7" s="1"/>
  <c r="BC87" i="4"/>
  <c r="BD59" i="2"/>
  <c r="BC51" i="4"/>
  <c r="BB75" i="4"/>
  <c r="AQ26" i="6"/>
  <c r="AQ31" i="6"/>
  <c r="BP85" i="4"/>
  <c r="BQ57" i="2"/>
  <c r="BP49" i="4"/>
  <c r="AU71" i="4"/>
  <c r="AU12" i="4"/>
  <c r="AU10" i="6" s="1"/>
  <c r="AZ91" i="4"/>
  <c r="AZ59" i="4"/>
  <c r="AS13" i="4"/>
  <c r="AS6" i="4"/>
  <c r="AS9" i="6" s="1"/>
  <c r="AS11" i="6" s="1"/>
  <c r="AS12" i="6" s="1"/>
  <c r="AS25" i="6" l="1"/>
  <c r="AS13" i="6"/>
  <c r="AW32" i="2"/>
  <c r="AZ88" i="4"/>
  <c r="BA90" i="4"/>
  <c r="BA58" i="4"/>
  <c r="BD80" i="4"/>
  <c r="BE48" i="2"/>
  <c r="AT13" i="4"/>
  <c r="AT6" i="4"/>
  <c r="AT9" i="6" s="1"/>
  <c r="AT11" i="6" s="1"/>
  <c r="AT12" i="6" s="1"/>
  <c r="AT23" i="6"/>
  <c r="BE81" i="4"/>
  <c r="BF49" i="2"/>
  <c r="AQ35" i="6"/>
  <c r="AQ32" i="6"/>
  <c r="BE79" i="4"/>
  <c r="BE37" i="4"/>
  <c r="BF47" i="2"/>
  <c r="BD77" i="4"/>
  <c r="BE45" i="2"/>
  <c r="BD35" i="4"/>
  <c r="BA93" i="4"/>
  <c r="BA61" i="4"/>
  <c r="BX72" i="4"/>
  <c r="AV97" i="4"/>
  <c r="BA89" i="4"/>
  <c r="BA57" i="4"/>
  <c r="BD86" i="4"/>
  <c r="BD50" i="4"/>
  <c r="BE58" i="2"/>
  <c r="AV26" i="4"/>
  <c r="AV28" i="4" s="1"/>
  <c r="AV29" i="4" s="1"/>
  <c r="AV19" i="6" s="1"/>
  <c r="AV18" i="6" s="1"/>
  <c r="AV20" i="4"/>
  <c r="BD17" i="4"/>
  <c r="BE28" i="2"/>
  <c r="AU16" i="6"/>
  <c r="AU53" i="4"/>
  <c r="AY22" i="6"/>
  <c r="AY68" i="4"/>
  <c r="AW52" i="2"/>
  <c r="BA92" i="4"/>
  <c r="BA60" i="4"/>
  <c r="AO31" i="6"/>
  <c r="AO26" i="6"/>
  <c r="BC52" i="4"/>
  <c r="BC21" i="6" s="1"/>
  <c r="AW18" i="4"/>
  <c r="AW19" i="4" s="1"/>
  <c r="AX29" i="2"/>
  <c r="AW6" i="3"/>
  <c r="AU30" i="4"/>
  <c r="AU15" i="6"/>
  <c r="AX51" i="2"/>
  <c r="AP31" i="6"/>
  <c r="AP26" i="6"/>
  <c r="BD76" i="4"/>
  <c r="BD75" i="4" s="1"/>
  <c r="BE44" i="2"/>
  <c r="BD34" i="4"/>
  <c r="BD40" i="4" s="1"/>
  <c r="BQ85" i="4"/>
  <c r="BR57" i="2"/>
  <c r="BQ49" i="4"/>
  <c r="AZ67" i="4"/>
  <c r="BB6" i="6"/>
  <c r="BB66" i="2"/>
  <c r="BB63" i="2"/>
  <c r="BC9" i="3"/>
  <c r="BC11" i="3" s="1"/>
  <c r="BB72" i="2"/>
  <c r="BB66" i="4" s="1"/>
  <c r="BB64" i="2"/>
  <c r="BB69" i="2"/>
  <c r="BB71" i="2"/>
  <c r="BB65" i="4" s="1"/>
  <c r="BB68" i="2"/>
  <c r="BB65" i="2"/>
  <c r="BB70" i="2"/>
  <c r="BB67" i="2"/>
  <c r="AU44" i="4"/>
  <c r="BA95" i="4"/>
  <c r="BA63" i="4"/>
  <c r="BQ83" i="4"/>
  <c r="BR55" i="2"/>
  <c r="BQ47" i="4"/>
  <c r="BC82" i="4"/>
  <c r="BD87" i="4"/>
  <c r="BE59" i="2"/>
  <c r="BD51" i="4"/>
  <c r="BA91" i="4"/>
  <c r="BA59" i="4"/>
  <c r="BP84" i="4"/>
  <c r="BQ56" i="2"/>
  <c r="BP48" i="4"/>
  <c r="BA96" i="4"/>
  <c r="BA64" i="4"/>
  <c r="BA94" i="4"/>
  <c r="BA62" i="4"/>
  <c r="BC20" i="6"/>
  <c r="BC41" i="4"/>
  <c r="AR12" i="6"/>
  <c r="AV71" i="4"/>
  <c r="BX71" i="4" s="1"/>
  <c r="AV12" i="4"/>
  <c r="AV10" i="6" s="1"/>
  <c r="BD36" i="4"/>
  <c r="BE46" i="2"/>
  <c r="BD78" i="4"/>
  <c r="AX23" i="2"/>
  <c r="AW9" i="4"/>
  <c r="AW10" i="4"/>
  <c r="AU7" i="6"/>
  <c r="AU17" i="3"/>
  <c r="AU7" i="4"/>
  <c r="BC55" i="4"/>
  <c r="BD61" i="2"/>
  <c r="BH14" i="2"/>
  <c r="BG10" i="3"/>
  <c r="AJ33" i="7"/>
  <c r="AK42" i="8"/>
  <c r="AK43" i="8" s="1"/>
  <c r="BB17" i="6"/>
  <c r="AT16" i="6"/>
  <c r="AT53" i="4"/>
  <c r="AW25" i="4"/>
  <c r="AX36" i="2"/>
  <c r="AW11" i="2"/>
  <c r="AV13" i="3"/>
  <c r="AV22" i="4" s="1"/>
  <c r="AV23" i="4" s="1"/>
  <c r="AV16" i="3"/>
  <c r="AL9" i="7"/>
  <c r="AL20" i="7" s="1"/>
  <c r="AM8" i="7"/>
  <c r="AT13" i="6" l="1"/>
  <c r="AT25" i="6"/>
  <c r="BI14" i="2"/>
  <c r="BH10" i="3"/>
  <c r="BB90" i="4"/>
  <c r="BB58" i="4"/>
  <c r="AO35" i="6"/>
  <c r="AO32" i="6"/>
  <c r="BR85" i="4"/>
  <c r="BS57" i="2"/>
  <c r="BR49" i="4"/>
  <c r="BE17" i="4"/>
  <c r="BF28" i="2"/>
  <c r="AR25" i="6"/>
  <c r="AR13" i="6"/>
  <c r="BB95" i="4"/>
  <c r="BB63" i="4"/>
  <c r="BE86" i="4"/>
  <c r="BE82" i="4" s="1"/>
  <c r="BE50" i="4"/>
  <c r="BE52" i="4" s="1"/>
  <c r="BE21" i="6" s="1"/>
  <c r="BF58" i="2"/>
  <c r="BE77" i="4"/>
  <c r="BF45" i="2"/>
  <c r="BE35" i="4"/>
  <c r="BB94" i="4"/>
  <c r="BB62" i="4"/>
  <c r="BD20" i="6"/>
  <c r="BD41" i="4"/>
  <c r="BC17" i="6"/>
  <c r="BE80" i="4"/>
  <c r="BF48" i="2"/>
  <c r="AX11" i="2"/>
  <c r="AW13" i="3"/>
  <c r="AW22" i="4" s="1"/>
  <c r="AW16" i="3"/>
  <c r="AX25" i="4"/>
  <c r="AY36" i="2"/>
  <c r="AU12" i="6"/>
  <c r="BR83" i="4"/>
  <c r="BS55" i="2"/>
  <c r="BR47" i="4"/>
  <c r="BC6" i="6"/>
  <c r="BC72" i="2"/>
  <c r="BC66" i="4" s="1"/>
  <c r="BC66" i="2"/>
  <c r="BC63" i="2"/>
  <c r="BC70" i="2"/>
  <c r="BC64" i="2"/>
  <c r="BC69" i="2"/>
  <c r="BC71" i="2"/>
  <c r="BC65" i="4" s="1"/>
  <c r="BC68" i="2"/>
  <c r="BD9" i="3"/>
  <c r="BD11" i="3" s="1"/>
  <c r="BC65" i="2"/>
  <c r="BC67" i="2"/>
  <c r="AP32" i="6"/>
  <c r="AP35" i="6"/>
  <c r="BD52" i="4"/>
  <c r="BD21" i="6" s="1"/>
  <c r="AU13" i="4"/>
  <c r="AU6" i="4"/>
  <c r="AU9" i="6" s="1"/>
  <c r="AU11" i="6" s="1"/>
  <c r="BB91" i="4"/>
  <c r="BB59" i="4"/>
  <c r="BX97" i="4"/>
  <c r="AV43" i="4"/>
  <c r="BD55" i="4"/>
  <c r="BE61" i="2"/>
  <c r="BE87" i="4"/>
  <c r="BF59" i="2"/>
  <c r="BE51" i="4"/>
  <c r="BE76" i="4"/>
  <c r="BE34" i="4"/>
  <c r="BF44" i="2"/>
  <c r="AW71" i="4"/>
  <c r="AW12" i="4"/>
  <c r="BB89" i="4"/>
  <c r="BB57" i="4"/>
  <c r="AW44" i="4"/>
  <c r="AX52" i="2"/>
  <c r="BB92" i="4"/>
  <c r="BB60" i="4"/>
  <c r="BA67" i="4"/>
  <c r="AX32" i="2"/>
  <c r="AX9" i="4"/>
  <c r="AY23" i="2"/>
  <c r="AX10" i="4"/>
  <c r="BA88" i="4"/>
  <c r="AJ35" i="7"/>
  <c r="AJ37" i="7" s="1"/>
  <c r="AJ38" i="7" s="1"/>
  <c r="BW33" i="7"/>
  <c r="BW35" i="7" s="1"/>
  <c r="BW37" i="7" s="1"/>
  <c r="BW38" i="7" s="1"/>
  <c r="AX18" i="4"/>
  <c r="AX19" i="4" s="1"/>
  <c r="AY29" i="2"/>
  <c r="AX6" i="3"/>
  <c r="AX73" i="4" s="1"/>
  <c r="AX72" i="4" s="1"/>
  <c r="AW26" i="4"/>
  <c r="AW28" i="4" s="1"/>
  <c r="AW20" i="4"/>
  <c r="AM9" i="7"/>
  <c r="AM20" i="7" s="1"/>
  <c r="AN8" i="7"/>
  <c r="AV7" i="6"/>
  <c r="AV17" i="3"/>
  <c r="AV7" i="4"/>
  <c r="AV15" i="6"/>
  <c r="AV30" i="4"/>
  <c r="BD82" i="4"/>
  <c r="BF79" i="4"/>
  <c r="BG47" i="2"/>
  <c r="BF37" i="4"/>
  <c r="AY51" i="2"/>
  <c r="AV44" i="4"/>
  <c r="AU23" i="6"/>
  <c r="BB93" i="4"/>
  <c r="BB61" i="4"/>
  <c r="AQ6" i="8"/>
  <c r="AQ14" i="8" s="1"/>
  <c r="AQ25" i="8" s="1"/>
  <c r="AQ41" i="8" s="1"/>
  <c r="AQ36" i="6"/>
  <c r="BE78" i="4"/>
  <c r="BE36" i="4"/>
  <c r="BF46" i="2"/>
  <c r="BQ84" i="4"/>
  <c r="BR56" i="2"/>
  <c r="BQ48" i="4"/>
  <c r="AL42" i="8"/>
  <c r="AL43" i="8" s="1"/>
  <c r="AK33" i="7"/>
  <c r="AK35" i="7" s="1"/>
  <c r="AK37" i="7" s="1"/>
  <c r="AK38" i="7" s="1"/>
  <c r="BB96" i="4"/>
  <c r="BB64" i="4"/>
  <c r="AZ22" i="6"/>
  <c r="AZ68" i="4"/>
  <c r="AW73" i="4"/>
  <c r="AW72" i="4" s="1"/>
  <c r="AW97" i="4" s="1"/>
  <c r="AW43" i="4" s="1"/>
  <c r="BF81" i="4"/>
  <c r="BG49" i="2"/>
  <c r="AS26" i="6"/>
  <c r="AS31" i="6"/>
  <c r="AW23" i="4" l="1"/>
  <c r="BC91" i="4"/>
  <c r="BC59" i="4"/>
  <c r="BC94" i="4"/>
  <c r="BC62" i="4"/>
  <c r="BF77" i="4"/>
  <c r="BG45" i="2"/>
  <c r="BF35" i="4"/>
  <c r="AW7" i="6"/>
  <c r="AW17" i="3"/>
  <c r="AW7" i="4"/>
  <c r="BF78" i="4"/>
  <c r="BF36" i="4"/>
  <c r="BG46" i="2"/>
  <c r="BB88" i="4"/>
  <c r="BC90" i="4"/>
  <c r="BC58" i="4"/>
  <c r="AU25" i="6"/>
  <c r="AU13" i="6"/>
  <c r="BS85" i="4"/>
  <c r="BT57" i="2"/>
  <c r="BS49" i="4"/>
  <c r="AY9" i="4"/>
  <c r="AZ23" i="2"/>
  <c r="AY10" i="4"/>
  <c r="BA22" i="6"/>
  <c r="BA68" i="4"/>
  <c r="BC92" i="4"/>
  <c r="BC60" i="4"/>
  <c r="BD6" i="6"/>
  <c r="BD69" i="2"/>
  <c r="BE9" i="3"/>
  <c r="BE11" i="3" s="1"/>
  <c r="BD63" i="2"/>
  <c r="BD70" i="2"/>
  <c r="BD67" i="2"/>
  <c r="BD72" i="2"/>
  <c r="BD66" i="4" s="1"/>
  <c r="BD71" i="2"/>
  <c r="BD65" i="4" s="1"/>
  <c r="BD66" i="2"/>
  <c r="BD68" i="2"/>
  <c r="BD65" i="2"/>
  <c r="BD64" i="2"/>
  <c r="BB67" i="4"/>
  <c r="AW16" i="6"/>
  <c r="AW53" i="4"/>
  <c r="AX71" i="4"/>
  <c r="AX12" i="4"/>
  <c r="AX10" i="6" s="1"/>
  <c r="AW10" i="6"/>
  <c r="BF86" i="4"/>
  <c r="BG58" i="2"/>
  <c r="BF50" i="4"/>
  <c r="BF76" i="4"/>
  <c r="BG44" i="2"/>
  <c r="BF34" i="4"/>
  <c r="BF40" i="4" s="1"/>
  <c r="AY11" i="2"/>
  <c r="AX13" i="3"/>
  <c r="AX16" i="3"/>
  <c r="BF80" i="4"/>
  <c r="BG48" i="2"/>
  <c r="AW15" i="6"/>
  <c r="AW29" i="4"/>
  <c r="BJ14" i="2"/>
  <c r="BI10" i="3"/>
  <c r="AY52" i="2"/>
  <c r="BD17" i="6"/>
  <c r="BS83" i="4"/>
  <c r="BT55" i="2"/>
  <c r="BS47" i="4"/>
  <c r="AO8" i="7"/>
  <c r="AN9" i="7"/>
  <c r="AN20" i="7" s="1"/>
  <c r="BC89" i="4"/>
  <c r="BC57" i="4"/>
  <c r="BE75" i="4"/>
  <c r="AM42" i="8"/>
  <c r="AM43" i="8" s="1"/>
  <c r="AL33" i="7"/>
  <c r="AL35" i="7" s="1"/>
  <c r="AL37" i="7" s="1"/>
  <c r="AL38" i="7" s="1"/>
  <c r="AZ51" i="2"/>
  <c r="AX97" i="4"/>
  <c r="AX43" i="4" s="1"/>
  <c r="BF87" i="4"/>
  <c r="BG59" i="2"/>
  <c r="BF51" i="4"/>
  <c r="AP6" i="8"/>
  <c r="AP14" i="8" s="1"/>
  <c r="AP25" i="8" s="1"/>
  <c r="AP41" i="8" s="1"/>
  <c r="AP36" i="6"/>
  <c r="AT26" i="6"/>
  <c r="AT31" i="6"/>
  <c r="BG81" i="4"/>
  <c r="BH49" i="2"/>
  <c r="AV16" i="6"/>
  <c r="AV53" i="4"/>
  <c r="AV23" i="6"/>
  <c r="AX22" i="4"/>
  <c r="AX23" i="4" s="1"/>
  <c r="AY32" i="2"/>
  <c r="BC96" i="4"/>
  <c r="BC64" i="4"/>
  <c r="BE40" i="4"/>
  <c r="BR84" i="4"/>
  <c r="BS56" i="2"/>
  <c r="BR48" i="4"/>
  <c r="AY18" i="4"/>
  <c r="AY19" i="4" s="1"/>
  <c r="AZ29" i="2"/>
  <c r="AY6" i="3"/>
  <c r="AY73" i="4" s="1"/>
  <c r="AY72" i="4" s="1"/>
  <c r="AR31" i="6"/>
  <c r="AR26" i="6"/>
  <c r="AY25" i="4"/>
  <c r="AZ36" i="2"/>
  <c r="AV6" i="4"/>
  <c r="AV9" i="6" s="1"/>
  <c r="AV11" i="6" s="1"/>
  <c r="AV12" i="6" s="1"/>
  <c r="AV13" i="4"/>
  <c r="BC95" i="4"/>
  <c r="BC63" i="4"/>
  <c r="AO6" i="8"/>
  <c r="AO36" i="6"/>
  <c r="AS35" i="6"/>
  <c r="AS32" i="6"/>
  <c r="BG79" i="4"/>
  <c r="BH47" i="2"/>
  <c r="BG37" i="4"/>
  <c r="AX20" i="4"/>
  <c r="AX26" i="4"/>
  <c r="AX28" i="4" s="1"/>
  <c r="AX29" i="4" s="1"/>
  <c r="AX19" i="6" s="1"/>
  <c r="AX18" i="6" s="1"/>
  <c r="BE55" i="4"/>
  <c r="BF61" i="2"/>
  <c r="BC93" i="4"/>
  <c r="BC61" i="4"/>
  <c r="BF17" i="4"/>
  <c r="BG28" i="2"/>
  <c r="AV13" i="6" l="1"/>
  <c r="AV25" i="6"/>
  <c r="BD89" i="4"/>
  <c r="BD57" i="4"/>
  <c r="AW19" i="6"/>
  <c r="BA51" i="2"/>
  <c r="AW13" i="4"/>
  <c r="AW6" i="4"/>
  <c r="BE6" i="6"/>
  <c r="BE69" i="2"/>
  <c r="BE70" i="2"/>
  <c r="BE67" i="2"/>
  <c r="BE64" i="2"/>
  <c r="BE72" i="2"/>
  <c r="BE66" i="4" s="1"/>
  <c r="BE71" i="2"/>
  <c r="BE65" i="4" s="1"/>
  <c r="BE66" i="2"/>
  <c r="BE68" i="2"/>
  <c r="BF9" i="3"/>
  <c r="BF11" i="3" s="1"/>
  <c r="BE65" i="2"/>
  <c r="BE63" i="2"/>
  <c r="AU31" i="6"/>
  <c r="AU26" i="6"/>
  <c r="BG77" i="4"/>
  <c r="BH45" i="2"/>
  <c r="BG35" i="4"/>
  <c r="AZ9" i="4"/>
  <c r="BA23" i="2"/>
  <c r="AZ10" i="4"/>
  <c r="BD95" i="4"/>
  <c r="BD63" i="4"/>
  <c r="BE17" i="6"/>
  <c r="AZ32" i="2"/>
  <c r="AX15" i="6"/>
  <c r="AX30" i="4"/>
  <c r="BT83" i="4"/>
  <c r="BT47" i="4"/>
  <c r="AS6" i="8"/>
  <c r="AS14" i="8" s="1"/>
  <c r="AS25" i="8" s="1"/>
  <c r="AS41" i="8" s="1"/>
  <c r="AS36" i="6"/>
  <c r="AN42" i="8"/>
  <c r="AN43" i="8" s="1"/>
  <c r="AM33" i="7"/>
  <c r="AM35" i="7" s="1"/>
  <c r="AM37" i="7" s="1"/>
  <c r="AM38" i="7" s="1"/>
  <c r="BB22" i="6"/>
  <c r="BB68" i="4"/>
  <c r="BA36" i="2"/>
  <c r="AZ25" i="4"/>
  <c r="BG87" i="4"/>
  <c r="BH59" i="2"/>
  <c r="BG51" i="4"/>
  <c r="AW30" i="4"/>
  <c r="BT85" i="4"/>
  <c r="BT49" i="4"/>
  <c r="AZ18" i="4"/>
  <c r="AZ19" i="4" s="1"/>
  <c r="BA29" i="2"/>
  <c r="AZ6" i="3"/>
  <c r="AZ73" i="4" s="1"/>
  <c r="AZ72" i="4" s="1"/>
  <c r="AY26" i="4"/>
  <c r="AY28" i="4" s="1"/>
  <c r="AY29" i="4" s="1"/>
  <c r="AY19" i="6" s="1"/>
  <c r="AY18" i="6" s="1"/>
  <c r="AY20" i="4"/>
  <c r="BH81" i="4"/>
  <c r="BI49" i="2"/>
  <c r="BF20" i="6"/>
  <c r="BF41" i="4"/>
  <c r="AZ52" i="2"/>
  <c r="BG76" i="4"/>
  <c r="BG75" i="4" s="1"/>
  <c r="BH44" i="2"/>
  <c r="BG34" i="4"/>
  <c r="BG40" i="4" s="1"/>
  <c r="BD90" i="4"/>
  <c r="BD58" i="4"/>
  <c r="BD93" i="4"/>
  <c r="BD61" i="4"/>
  <c r="BG80" i="4"/>
  <c r="BH48" i="2"/>
  <c r="BH79" i="4"/>
  <c r="BH37" i="4"/>
  <c r="BI47" i="2"/>
  <c r="AZ11" i="2"/>
  <c r="AY13" i="3"/>
  <c r="AY22" i="4" s="1"/>
  <c r="AY16" i="3"/>
  <c r="AO14" i="8"/>
  <c r="AO25" i="8" s="1"/>
  <c r="AO41" i="8" s="1"/>
  <c r="AT32" i="6"/>
  <c r="AT35" i="6"/>
  <c r="BC67" i="4"/>
  <c r="AX44" i="4"/>
  <c r="BF75" i="4"/>
  <c r="BC88" i="4"/>
  <c r="BF52" i="4"/>
  <c r="BF21" i="6" s="1"/>
  <c r="BD91" i="4"/>
  <c r="BD59" i="4"/>
  <c r="AX16" i="6"/>
  <c r="AX53" i="4"/>
  <c r="AX7" i="6"/>
  <c r="AX7" i="4"/>
  <c r="AX17" i="3"/>
  <c r="BG17" i="4"/>
  <c r="BH28" i="2"/>
  <c r="BS84" i="4"/>
  <c r="BT56" i="2"/>
  <c r="BS48" i="4"/>
  <c r="BE20" i="6"/>
  <c r="BE41" i="4"/>
  <c r="BJ10" i="3"/>
  <c r="BK14" i="2"/>
  <c r="BG86" i="4"/>
  <c r="BG82" i="4" s="1"/>
  <c r="BG50" i="4"/>
  <c r="BG52" i="4" s="1"/>
  <c r="BG21" i="6" s="1"/>
  <c r="BH58" i="2"/>
  <c r="BD94" i="4"/>
  <c r="BD62" i="4"/>
  <c r="BG78" i="4"/>
  <c r="BG36" i="4"/>
  <c r="BH46" i="2"/>
  <c r="BD96" i="4"/>
  <c r="BD64" i="4"/>
  <c r="AR32" i="6"/>
  <c r="AR35" i="6"/>
  <c r="BG61" i="2"/>
  <c r="BF55" i="4"/>
  <c r="AP8" i="7"/>
  <c r="AO9" i="7"/>
  <c r="AO20" i="7" s="1"/>
  <c r="BF82" i="4"/>
  <c r="BD92" i="4"/>
  <c r="BD60" i="4"/>
  <c r="AY71" i="4"/>
  <c r="AY97" i="4" s="1"/>
  <c r="AY12" i="4"/>
  <c r="AY43" i="4" l="1"/>
  <c r="AY44" i="4"/>
  <c r="AY23" i="4"/>
  <c r="AZ26" i="4"/>
  <c r="AZ28" i="4" s="1"/>
  <c r="AZ29" i="4" s="1"/>
  <c r="AZ19" i="6" s="1"/>
  <c r="AZ18" i="6" s="1"/>
  <c r="AZ20" i="4"/>
  <c r="BE90" i="4"/>
  <c r="BE58" i="4"/>
  <c r="AZ71" i="4"/>
  <c r="AZ12" i="4"/>
  <c r="AZ10" i="6" s="1"/>
  <c r="BH76" i="4"/>
  <c r="BH34" i="4"/>
  <c r="BI44" i="2"/>
  <c r="BE93" i="4"/>
  <c r="BE61" i="4"/>
  <c r="AW18" i="6"/>
  <c r="AW23" i="6" s="1"/>
  <c r="BF17" i="6"/>
  <c r="BB29" i="2"/>
  <c r="BA18" i="4"/>
  <c r="BA19" i="4" s="1"/>
  <c r="BA6" i="3"/>
  <c r="BA73" i="4" s="1"/>
  <c r="BA72" i="4" s="1"/>
  <c r="BA11" i="2"/>
  <c r="AZ13" i="3"/>
  <c r="AZ16" i="3"/>
  <c r="BI79" i="4"/>
  <c r="BJ47" i="2"/>
  <c r="BI37" i="4"/>
  <c r="BA52" i="2"/>
  <c r="BV49" i="4"/>
  <c r="BW49" i="4"/>
  <c r="BX49" i="4"/>
  <c r="BY49" i="4"/>
  <c r="BZ49" i="4"/>
  <c r="BW47" i="4"/>
  <c r="BV47" i="4"/>
  <c r="BX47" i="4"/>
  <c r="BY47" i="4"/>
  <c r="BZ47" i="4"/>
  <c r="BH77" i="4"/>
  <c r="BI45" i="2"/>
  <c r="BH35" i="4"/>
  <c r="BE96" i="4"/>
  <c r="BE64" i="4"/>
  <c r="AZ97" i="4"/>
  <c r="AZ43" i="4" s="1"/>
  <c r="AY7" i="6"/>
  <c r="AY7" i="4"/>
  <c r="AY17" i="3"/>
  <c r="BE95" i="4"/>
  <c r="BE63" i="4"/>
  <c r="BD67" i="4"/>
  <c r="AX13" i="4"/>
  <c r="AX6" i="4"/>
  <c r="AX9" i="6" s="1"/>
  <c r="AX11" i="6" s="1"/>
  <c r="AX12" i="6" s="1"/>
  <c r="AY15" i="6"/>
  <c r="AY30" i="4"/>
  <c r="AR6" i="8"/>
  <c r="AR36" i="6"/>
  <c r="BB51" i="2"/>
  <c r="BD88" i="4"/>
  <c r="BH78" i="4"/>
  <c r="BH36" i="4"/>
  <c r="BI46" i="2"/>
  <c r="BH80" i="4"/>
  <c r="BI48" i="2"/>
  <c r="AX23" i="6"/>
  <c r="AU35" i="6"/>
  <c r="AU32" i="6"/>
  <c r="BH86" i="4"/>
  <c r="BH82" i="4" s="1"/>
  <c r="BY82" i="4" s="1"/>
  <c r="BH50" i="4"/>
  <c r="BH52" i="4" s="1"/>
  <c r="BH21" i="6" s="1"/>
  <c r="BI58" i="2"/>
  <c r="BE92" i="4"/>
  <c r="BE60" i="4"/>
  <c r="BG20" i="6"/>
  <c r="BG41" i="4"/>
  <c r="AY10" i="6"/>
  <c r="BT84" i="4"/>
  <c r="BT48" i="4"/>
  <c r="BH87" i="4"/>
  <c r="BI59" i="2"/>
  <c r="BH51" i="4"/>
  <c r="BE89" i="4"/>
  <c r="BE88" i="4" s="1"/>
  <c r="BE57" i="4"/>
  <c r="BE67" i="4" s="1"/>
  <c r="BH17" i="4"/>
  <c r="BI28" i="2"/>
  <c r="AZ22" i="4"/>
  <c r="AZ23" i="4" s="1"/>
  <c r="BA32" i="2"/>
  <c r="BE91" i="4"/>
  <c r="BE59" i="4"/>
  <c r="AV31" i="6"/>
  <c r="AV26" i="6"/>
  <c r="AQ8" i="7"/>
  <c r="AP9" i="7"/>
  <c r="AP20" i="7" s="1"/>
  <c r="AO42" i="8"/>
  <c r="AO43" i="8" s="1"/>
  <c r="AN33" i="7"/>
  <c r="AN35" i="7" s="1"/>
  <c r="AN37" i="7" s="1"/>
  <c r="AN38" i="7" s="1"/>
  <c r="BC22" i="6"/>
  <c r="BC68" i="4"/>
  <c r="BI81" i="4"/>
  <c r="BJ49" i="2"/>
  <c r="BF6" i="6"/>
  <c r="BF72" i="2"/>
  <c r="BF66" i="4" s="1"/>
  <c r="BF65" i="2"/>
  <c r="BG9" i="3"/>
  <c r="BG11" i="3" s="1"/>
  <c r="BF66" i="2"/>
  <c r="BF70" i="2"/>
  <c r="BF67" i="2"/>
  <c r="BF64" i="2"/>
  <c r="BF69" i="2"/>
  <c r="BF71" i="2"/>
  <c r="BF65" i="4" s="1"/>
  <c r="BF68" i="2"/>
  <c r="BF63" i="2"/>
  <c r="BG55" i="4"/>
  <c r="BH61" i="2"/>
  <c r="BL14" i="2"/>
  <c r="BK10" i="3"/>
  <c r="BA9" i="4"/>
  <c r="BB23" i="2"/>
  <c r="BA10" i="4"/>
  <c r="AT6" i="8"/>
  <c r="AT14" i="8" s="1"/>
  <c r="AT25" i="8" s="1"/>
  <c r="AT41" i="8" s="1"/>
  <c r="AT36" i="6"/>
  <c r="BA25" i="4"/>
  <c r="BB36" i="2"/>
  <c r="BE94" i="4"/>
  <c r="BE62" i="4"/>
  <c r="AW9" i="6"/>
  <c r="AX25" i="6" l="1"/>
  <c r="AX13" i="6"/>
  <c r="BF92" i="4"/>
  <c r="BF60" i="4"/>
  <c r="BG17" i="6"/>
  <c r="AR14" i="8"/>
  <c r="AR25" i="8" s="1"/>
  <c r="AR41" i="8" s="1"/>
  <c r="BV48" i="4"/>
  <c r="BW48" i="4"/>
  <c r="BX48" i="4"/>
  <c r="BY48" i="4"/>
  <c r="BZ48" i="4"/>
  <c r="BI77" i="4"/>
  <c r="BJ45" i="2"/>
  <c r="BI35" i="4"/>
  <c r="AZ44" i="4"/>
  <c r="BA20" i="4"/>
  <c r="BA26" i="4"/>
  <c r="BA28" i="4" s="1"/>
  <c r="BA29" i="4" s="1"/>
  <c r="AP42" i="8"/>
  <c r="AP43" i="8" s="1"/>
  <c r="AO33" i="7"/>
  <c r="AO35" i="7" s="1"/>
  <c r="AO37" i="7" s="1"/>
  <c r="AO38" i="7" s="1"/>
  <c r="BL10" i="3"/>
  <c r="BM14" i="2"/>
  <c r="AV32" i="6"/>
  <c r="AV35" i="6"/>
  <c r="BI80" i="4"/>
  <c r="BJ48" i="2"/>
  <c r="BF89" i="4"/>
  <c r="BF57" i="4"/>
  <c r="BJ81" i="4"/>
  <c r="BK49" i="2"/>
  <c r="BB52" i="2"/>
  <c r="AW11" i="6"/>
  <c r="BJ79" i="4"/>
  <c r="BJ37" i="4"/>
  <c r="BK47" i="2"/>
  <c r="BI76" i="4"/>
  <c r="BI75" i="4" s="1"/>
  <c r="BJ44" i="2"/>
  <c r="BI34" i="4"/>
  <c r="BG6" i="6"/>
  <c r="BG63" i="2"/>
  <c r="BG67" i="2"/>
  <c r="BG64" i="2"/>
  <c r="BG71" i="2"/>
  <c r="BG65" i="4" s="1"/>
  <c r="BG69" i="2"/>
  <c r="BG66" i="2"/>
  <c r="BG68" i="2"/>
  <c r="BH9" i="3"/>
  <c r="BH11" i="3" s="1"/>
  <c r="BG65" i="2"/>
  <c r="BG70" i="2"/>
  <c r="BG72" i="2"/>
  <c r="BG66" i="4" s="1"/>
  <c r="BB18" i="4"/>
  <c r="BB19" i="4" s="1"/>
  <c r="BC29" i="2"/>
  <c r="BB6" i="3"/>
  <c r="BB73" i="4" s="1"/>
  <c r="BB72" i="4" s="1"/>
  <c r="BI87" i="4"/>
  <c r="BJ59" i="2"/>
  <c r="BI51" i="4"/>
  <c r="AZ15" i="6"/>
  <c r="AZ30" i="4"/>
  <c r="BD22" i="6"/>
  <c r="BD68" i="4"/>
  <c r="BB25" i="4"/>
  <c r="BC36" i="2"/>
  <c r="BB32" i="2"/>
  <c r="BI78" i="4"/>
  <c r="BJ46" i="2"/>
  <c r="BI36" i="4"/>
  <c r="BH40" i="4"/>
  <c r="BE22" i="6"/>
  <c r="BE68" i="4"/>
  <c r="AQ9" i="7"/>
  <c r="AQ20" i="7" s="1"/>
  <c r="AR8" i="7"/>
  <c r="BF94" i="4"/>
  <c r="BF62" i="4"/>
  <c r="BF90" i="4"/>
  <c r="BF58" i="4"/>
  <c r="AY53" i="4"/>
  <c r="AY16" i="6"/>
  <c r="AY23" i="6" s="1"/>
  <c r="BF91" i="4"/>
  <c r="BF59" i="4"/>
  <c r="AZ7" i="6"/>
  <c r="AZ7" i="4"/>
  <c r="AZ17" i="3"/>
  <c r="BA71" i="4"/>
  <c r="BA12" i="4"/>
  <c r="BF93" i="4"/>
  <c r="BF61" i="4"/>
  <c r="BI17" i="4"/>
  <c r="BJ28" i="2"/>
  <c r="BB11" i="2"/>
  <c r="BA13" i="3"/>
  <c r="BA22" i="4" s="1"/>
  <c r="BA16" i="3"/>
  <c r="AZ16" i="6"/>
  <c r="AZ53" i="4"/>
  <c r="BI61" i="2"/>
  <c r="BH55" i="4"/>
  <c r="AU36" i="6"/>
  <c r="AU6" i="8"/>
  <c r="AU14" i="8" s="1"/>
  <c r="AU25" i="8" s="1"/>
  <c r="AU41" i="8" s="1"/>
  <c r="BF95" i="4"/>
  <c r="BF63" i="4"/>
  <c r="BH75" i="4"/>
  <c r="BY75" i="4" s="1"/>
  <c r="BB9" i="4"/>
  <c r="BC23" i="2"/>
  <c r="BB10" i="4"/>
  <c r="BF96" i="4"/>
  <c r="BF64" i="4"/>
  <c r="BI86" i="4"/>
  <c r="BJ58" i="2"/>
  <c r="BI50" i="4"/>
  <c r="BC51" i="2"/>
  <c r="AY13" i="4"/>
  <c r="AY6" i="4"/>
  <c r="BA97" i="4"/>
  <c r="BA43" i="4" s="1"/>
  <c r="BA23" i="4" l="1"/>
  <c r="BN14" i="2"/>
  <c r="BM10" i="3"/>
  <c r="BC11" i="2"/>
  <c r="BB13" i="3"/>
  <c r="BB22" i="4" s="1"/>
  <c r="BB23" i="4" s="1"/>
  <c r="BB16" i="3"/>
  <c r="BH20" i="6"/>
  <c r="BH41" i="4"/>
  <c r="BG93" i="4"/>
  <c r="BG61" i="4"/>
  <c r="BX6" i="8"/>
  <c r="BX14" i="8" s="1"/>
  <c r="BX25" i="8" s="1"/>
  <c r="BX41" i="8" s="1"/>
  <c r="BC9" i="4"/>
  <c r="BD23" i="2"/>
  <c r="BC10" i="4"/>
  <c r="BG89" i="4"/>
  <c r="BG57" i="4"/>
  <c r="AP33" i="7"/>
  <c r="AP35" i="7" s="1"/>
  <c r="AP37" i="7" s="1"/>
  <c r="AP38" i="7" s="1"/>
  <c r="AQ42" i="8"/>
  <c r="AQ43" i="8" s="1"/>
  <c r="BJ78" i="4"/>
  <c r="BK46" i="2"/>
  <c r="BJ36" i="4"/>
  <c r="BC18" i="4"/>
  <c r="BC19" i="4" s="1"/>
  <c r="BD29" i="2"/>
  <c r="BC6" i="3"/>
  <c r="BC73" i="4" s="1"/>
  <c r="BC72" i="4" s="1"/>
  <c r="BC52" i="2"/>
  <c r="BA19" i="6"/>
  <c r="AS8" i="7"/>
  <c r="AR9" i="7"/>
  <c r="AR20" i="7" s="1"/>
  <c r="AZ23" i="6"/>
  <c r="BA7" i="6"/>
  <c r="BA7" i="4"/>
  <c r="BA17" i="3"/>
  <c r="BB26" i="4"/>
  <c r="BB28" i="4" s="1"/>
  <c r="BB29" i="4" s="1"/>
  <c r="BB19" i="6" s="1"/>
  <c r="BB18" i="6" s="1"/>
  <c r="BB20" i="4"/>
  <c r="BA44" i="4"/>
  <c r="BA16" i="6" s="1"/>
  <c r="BA15" i="6"/>
  <c r="BA30" i="4"/>
  <c r="BC32" i="2"/>
  <c r="BI40" i="4"/>
  <c r="BK81" i="4"/>
  <c r="BL49" i="2"/>
  <c r="BG95" i="4"/>
  <c r="BG63" i="4"/>
  <c r="BJ87" i="4"/>
  <c r="BK59" i="2"/>
  <c r="BJ51" i="4"/>
  <c r="BD51" i="2"/>
  <c r="BJ17" i="4"/>
  <c r="BK28" i="2"/>
  <c r="BI52" i="4"/>
  <c r="BG96" i="4"/>
  <c r="BG64" i="4"/>
  <c r="BJ76" i="4"/>
  <c r="BJ75" i="4" s="1"/>
  <c r="BK44" i="2"/>
  <c r="BJ34" i="4"/>
  <c r="AV36" i="6"/>
  <c r="AV6" i="8"/>
  <c r="AV14" i="8" s="1"/>
  <c r="AV25" i="8" s="1"/>
  <c r="AV41" i="8" s="1"/>
  <c r="AZ6" i="4"/>
  <c r="AZ9" i="6" s="1"/>
  <c r="AZ11" i="6" s="1"/>
  <c r="AZ13" i="4"/>
  <c r="AW12" i="6"/>
  <c r="BG90" i="4"/>
  <c r="BG58" i="4"/>
  <c r="BC25" i="4"/>
  <c r="BD36" i="2"/>
  <c r="BI82" i="4"/>
  <c r="BH6" i="6"/>
  <c r="BY6" i="6" s="1"/>
  <c r="BH68" i="2"/>
  <c r="BH64" i="2"/>
  <c r="BH71" i="2"/>
  <c r="BH65" i="4" s="1"/>
  <c r="BH69" i="2"/>
  <c r="BH66" i="2"/>
  <c r="BH63" i="2"/>
  <c r="BI9" i="3"/>
  <c r="BI11" i="3" s="1"/>
  <c r="BH65" i="2"/>
  <c r="BH70" i="2"/>
  <c r="BH67" i="2"/>
  <c r="BH72" i="2"/>
  <c r="BH66" i="4" s="1"/>
  <c r="BK79" i="4"/>
  <c r="BK37" i="4"/>
  <c r="BL47" i="2"/>
  <c r="BF88" i="4"/>
  <c r="BJ77" i="4"/>
  <c r="BK45" i="2"/>
  <c r="BJ35" i="4"/>
  <c r="AZ12" i="6"/>
  <c r="BB71" i="4"/>
  <c r="BB97" i="4" s="1"/>
  <c r="BB12" i="4"/>
  <c r="BB10" i="6" s="1"/>
  <c r="AY9" i="6"/>
  <c r="BJ86" i="4"/>
  <c r="BJ82" i="4" s="1"/>
  <c r="BK58" i="2"/>
  <c r="BJ50" i="4"/>
  <c r="BH17" i="6"/>
  <c r="BA10" i="6"/>
  <c r="BG94" i="4"/>
  <c r="BG62" i="4"/>
  <c r="BJ80" i="4"/>
  <c r="BK48" i="2"/>
  <c r="AX26" i="6"/>
  <c r="AX31" i="6"/>
  <c r="BG91" i="4"/>
  <c r="BG59" i="4"/>
  <c r="BF67" i="4"/>
  <c r="BI55" i="4"/>
  <c r="BJ61" i="2"/>
  <c r="BG92" i="4"/>
  <c r="BG60" i="4"/>
  <c r="BB43" i="4" l="1"/>
  <c r="BB44" i="4"/>
  <c r="BA53" i="4"/>
  <c r="BB15" i="6"/>
  <c r="BB30" i="4"/>
  <c r="BK87" i="4"/>
  <c r="BL59" i="2"/>
  <c r="BK51" i="4"/>
  <c r="AZ25" i="6"/>
  <c r="AZ13" i="6"/>
  <c r="BH89" i="4"/>
  <c r="BH57" i="4"/>
  <c r="AW25" i="6"/>
  <c r="AW13" i="6"/>
  <c r="BA13" i="4"/>
  <c r="BA6" i="4"/>
  <c r="BK78" i="4"/>
  <c r="BK36" i="4"/>
  <c r="BL46" i="2"/>
  <c r="AX32" i="6"/>
  <c r="AX35" i="6"/>
  <c r="BH92" i="4"/>
  <c r="BH60" i="4"/>
  <c r="BL81" i="4"/>
  <c r="BM49" i="2"/>
  <c r="BB7" i="6"/>
  <c r="BB7" i="4"/>
  <c r="BB17" i="3"/>
  <c r="BH93" i="4"/>
  <c r="BH61" i="4"/>
  <c r="BI21" i="6"/>
  <c r="AQ33" i="7"/>
  <c r="AQ35" i="7" s="1"/>
  <c r="AQ37" i="7" s="1"/>
  <c r="AQ38" i="7" s="1"/>
  <c r="AR42" i="8"/>
  <c r="AR43" i="8" s="1"/>
  <c r="BH96" i="4"/>
  <c r="BH64" i="4"/>
  <c r="BI6" i="6"/>
  <c r="BJ9" i="3"/>
  <c r="BJ11" i="3" s="1"/>
  <c r="BI70" i="2"/>
  <c r="BI71" i="2"/>
  <c r="BI65" i="4" s="1"/>
  <c r="BI68" i="2"/>
  <c r="BI66" i="2"/>
  <c r="BI63" i="2"/>
  <c r="BI65" i="2"/>
  <c r="BI67" i="2"/>
  <c r="BI64" i="2"/>
  <c r="BI72" i="2"/>
  <c r="BI66" i="4" s="1"/>
  <c r="BI69" i="2"/>
  <c r="BH95" i="4"/>
  <c r="BH63" i="4"/>
  <c r="BD11" i="2"/>
  <c r="BC13" i="3"/>
  <c r="BC16" i="3"/>
  <c r="BH91" i="4"/>
  <c r="BH59" i="4"/>
  <c r="BK80" i="4"/>
  <c r="BL48" i="2"/>
  <c r="BK77" i="4"/>
  <c r="BL45" i="2"/>
  <c r="BK35" i="4"/>
  <c r="BK17" i="4"/>
  <c r="BL28" i="2"/>
  <c r="BI20" i="6"/>
  <c r="BI41" i="4"/>
  <c r="AS9" i="7"/>
  <c r="AS20" i="7" s="1"/>
  <c r="AT8" i="7"/>
  <c r="BG67" i="4"/>
  <c r="AY11" i="6"/>
  <c r="BD18" i="4"/>
  <c r="BD19" i="4" s="1"/>
  <c r="BE29" i="2"/>
  <c r="BD6" i="3"/>
  <c r="BD73" i="4" s="1"/>
  <c r="BD72" i="4" s="1"/>
  <c r="BC26" i="4"/>
  <c r="BC28" i="4" s="1"/>
  <c r="BC29" i="4" s="1"/>
  <c r="BC19" i="6" s="1"/>
  <c r="BC18" i="6" s="1"/>
  <c r="BC20" i="4"/>
  <c r="BL79" i="4"/>
  <c r="BL37" i="4"/>
  <c r="BM47" i="2"/>
  <c r="BC22" i="4"/>
  <c r="BC23" i="4" s="1"/>
  <c r="BD32" i="2"/>
  <c r="BG88" i="4"/>
  <c r="BO14" i="2"/>
  <c r="BN10" i="3"/>
  <c r="BI17" i="6"/>
  <c r="BH94" i="4"/>
  <c r="BH62" i="4"/>
  <c r="BE51" i="2"/>
  <c r="BA18" i="6"/>
  <c r="BJ55" i="4"/>
  <c r="BK61" i="2"/>
  <c r="BF22" i="6"/>
  <c r="BF68" i="4"/>
  <c r="BJ40" i="4"/>
  <c r="BC71" i="4"/>
  <c r="BC97" i="4" s="1"/>
  <c r="BC12" i="4"/>
  <c r="BC10" i="6" s="1"/>
  <c r="BD25" i="4"/>
  <c r="BE36" i="2"/>
  <c r="BH90" i="4"/>
  <c r="BH58" i="4"/>
  <c r="BJ52" i="4"/>
  <c r="BJ21" i="6" s="1"/>
  <c r="BK86" i="4"/>
  <c r="BK82" i="4" s="1"/>
  <c r="BL58" i="2"/>
  <c r="BK50" i="4"/>
  <c r="BK52" i="4" s="1"/>
  <c r="BK21" i="6" s="1"/>
  <c r="BK76" i="4"/>
  <c r="BK75" i="4" s="1"/>
  <c r="BL44" i="2"/>
  <c r="BK34" i="4"/>
  <c r="BA23" i="6"/>
  <c r="BD52" i="2"/>
  <c r="BE23" i="2"/>
  <c r="BD9" i="4"/>
  <c r="BD10" i="4"/>
  <c r="BC43" i="4" l="1"/>
  <c r="BC44" i="4"/>
  <c r="AZ26" i="6"/>
  <c r="AZ31" i="6"/>
  <c r="BH67" i="4"/>
  <c r="BL77" i="4"/>
  <c r="BM45" i="2"/>
  <c r="BL35" i="4"/>
  <c r="BI90" i="4"/>
  <c r="BI58" i="4"/>
  <c r="AR33" i="7"/>
  <c r="AR35" i="7" s="1"/>
  <c r="AR37" i="7" s="1"/>
  <c r="AR38" i="7" s="1"/>
  <c r="AS42" i="8"/>
  <c r="AS43" i="8" s="1"/>
  <c r="AX6" i="8"/>
  <c r="AX14" i="8" s="1"/>
  <c r="AX25" i="8" s="1"/>
  <c r="AX41" i="8" s="1"/>
  <c r="AX36" i="6"/>
  <c r="BJ6" i="6"/>
  <c r="BK9" i="3"/>
  <c r="BK11" i="3" s="1"/>
  <c r="BJ71" i="2"/>
  <c r="BJ65" i="4" s="1"/>
  <c r="BJ64" i="2"/>
  <c r="BJ67" i="2"/>
  <c r="BJ68" i="2"/>
  <c r="BJ65" i="2"/>
  <c r="BJ66" i="2"/>
  <c r="BJ63" i="2"/>
  <c r="BJ70" i="2"/>
  <c r="BJ72" i="2"/>
  <c r="BJ66" i="4" s="1"/>
  <c r="BJ69" i="2"/>
  <c r="BH88" i="4"/>
  <c r="BL86" i="4"/>
  <c r="BL82" i="4" s="1"/>
  <c r="BM58" i="2"/>
  <c r="BL50" i="4"/>
  <c r="BL52" i="4" s="1"/>
  <c r="BL21" i="6" s="1"/>
  <c r="BP14" i="2"/>
  <c r="BO10" i="3"/>
  <c r="AY12" i="6"/>
  <c r="BI93" i="4"/>
  <c r="BI61" i="4"/>
  <c r="BL87" i="4"/>
  <c r="BM59" i="2"/>
  <c r="BL51" i="4"/>
  <c r="BE25" i="4"/>
  <c r="BF36" i="2"/>
  <c r="BM81" i="4"/>
  <c r="BN49" i="2"/>
  <c r="BI91" i="4"/>
  <c r="BI59" i="4"/>
  <c r="BJ20" i="6"/>
  <c r="BJ41" i="4"/>
  <c r="BJ17" i="6"/>
  <c r="BL78" i="4"/>
  <c r="BM46" i="2"/>
  <c r="BL36" i="4"/>
  <c r="BL80" i="4"/>
  <c r="BM48" i="2"/>
  <c r="AU8" i="7"/>
  <c r="AT9" i="7"/>
  <c r="AT20" i="7" s="1"/>
  <c r="BI89" i="4"/>
  <c r="BI57" i="4"/>
  <c r="BE32" i="2"/>
  <c r="BI92" i="4"/>
  <c r="BI60" i="4"/>
  <c r="BE52" i="2"/>
  <c r="AW26" i="6"/>
  <c r="AW31" i="6"/>
  <c r="BF29" i="2"/>
  <c r="BE18" i="4"/>
  <c r="BE19" i="4" s="1"/>
  <c r="BE6" i="3"/>
  <c r="BE73" i="4" s="1"/>
  <c r="BE72" i="4" s="1"/>
  <c r="BD20" i="4"/>
  <c r="BD26" i="4"/>
  <c r="BD28" i="4" s="1"/>
  <c r="BD29" i="4" s="1"/>
  <c r="BD19" i="6" s="1"/>
  <c r="BD18" i="6" s="1"/>
  <c r="BG22" i="6"/>
  <c r="BG68" i="4"/>
  <c r="BF51" i="2"/>
  <c r="BM79" i="4"/>
  <c r="BM37" i="4"/>
  <c r="BN47" i="2"/>
  <c r="BC17" i="3"/>
  <c r="BC7" i="6"/>
  <c r="BC7" i="4"/>
  <c r="BI94" i="4"/>
  <c r="BI62" i="4"/>
  <c r="BA9" i="6"/>
  <c r="BC15" i="6"/>
  <c r="BC30" i="4"/>
  <c r="BL17" i="4"/>
  <c r="BM28" i="2"/>
  <c r="BK40" i="4"/>
  <c r="BL76" i="4"/>
  <c r="BL75" i="4" s="1"/>
  <c r="BM44" i="2"/>
  <c r="BL34" i="4"/>
  <c r="BI95" i="4"/>
  <c r="BI63" i="4"/>
  <c r="BK55" i="4"/>
  <c r="BL61" i="2"/>
  <c r="BF23" i="2"/>
  <c r="BE9" i="4"/>
  <c r="BE10" i="4"/>
  <c r="BB6" i="4"/>
  <c r="BB9" i="6" s="1"/>
  <c r="BB11" i="6" s="1"/>
  <c r="BB12" i="6" s="1"/>
  <c r="BB13" i="4"/>
  <c r="BB16" i="6"/>
  <c r="BB23" i="6" s="1"/>
  <c r="BB53" i="4"/>
  <c r="BD71" i="4"/>
  <c r="BD97" i="4" s="1"/>
  <c r="BD12" i="4"/>
  <c r="BD10" i="6" s="1"/>
  <c r="BE11" i="2"/>
  <c r="BD13" i="3"/>
  <c r="BD22" i="4" s="1"/>
  <c r="BD23" i="4" s="1"/>
  <c r="BD16" i="3"/>
  <c r="BI96" i="4"/>
  <c r="BI64" i="4"/>
  <c r="BB25" i="6" l="1"/>
  <c r="BB13" i="6"/>
  <c r="BD43" i="4"/>
  <c r="BD44" i="4"/>
  <c r="BI67" i="4"/>
  <c r="BN79" i="4"/>
  <c r="BN37" i="4"/>
  <c r="BO47" i="2"/>
  <c r="BM80" i="4"/>
  <c r="BN48" i="2"/>
  <c r="AU9" i="7"/>
  <c r="AU20" i="7" s="1"/>
  <c r="AV8" i="7"/>
  <c r="BM17" i="4"/>
  <c r="BN28" i="2"/>
  <c r="BF52" i="2"/>
  <c r="BN81" i="4"/>
  <c r="BO49" i="2"/>
  <c r="BM86" i="4"/>
  <c r="BM82" i="4" s="1"/>
  <c r="BM50" i="4"/>
  <c r="BM52" i="4" s="1"/>
  <c r="BN58" i="2"/>
  <c r="BK6" i="6"/>
  <c r="BK71" i="2"/>
  <c r="BK65" i="4" s="1"/>
  <c r="BK68" i="2"/>
  <c r="BK65" i="2"/>
  <c r="BL9" i="3"/>
  <c r="BL11" i="3" s="1"/>
  <c r="BK63" i="2"/>
  <c r="BK70" i="2"/>
  <c r="BK67" i="2"/>
  <c r="BK72" i="2"/>
  <c r="BK66" i="4" s="1"/>
  <c r="BK64" i="2"/>
  <c r="BK69" i="2"/>
  <c r="BK66" i="2"/>
  <c r="BI88" i="4"/>
  <c r="BL40" i="4"/>
  <c r="BJ91" i="4"/>
  <c r="BJ59" i="4"/>
  <c r="BE26" i="4"/>
  <c r="BE28" i="4" s="1"/>
  <c r="BE29" i="4" s="1"/>
  <c r="BE19" i="6" s="1"/>
  <c r="BE20" i="4"/>
  <c r="AY13" i="6"/>
  <c r="AY25" i="6"/>
  <c r="BE71" i="4"/>
  <c r="BE12" i="4"/>
  <c r="BE10" i="6" s="1"/>
  <c r="BF25" i="4"/>
  <c r="BG36" i="2"/>
  <c r="BY88" i="4"/>
  <c r="BH22" i="6"/>
  <c r="BH68" i="4"/>
  <c r="BD7" i="6"/>
  <c r="BD7" i="4"/>
  <c r="BD17" i="3"/>
  <c r="BG51" i="2"/>
  <c r="BM78" i="4"/>
  <c r="BM36" i="4"/>
  <c r="BN46" i="2"/>
  <c r="BJ95" i="4"/>
  <c r="BJ63" i="4"/>
  <c r="AZ35" i="6"/>
  <c r="AZ32" i="6"/>
  <c r="BM76" i="4"/>
  <c r="BN44" i="2"/>
  <c r="BM34" i="4"/>
  <c r="BJ93" i="4"/>
  <c r="BJ61" i="4"/>
  <c r="BC23" i="6"/>
  <c r="BD30" i="4"/>
  <c r="BD15" i="6"/>
  <c r="BJ92" i="4"/>
  <c r="BJ60" i="4"/>
  <c r="BG29" i="2"/>
  <c r="BF18" i="4"/>
  <c r="BF19" i="4" s="1"/>
  <c r="BF6" i="3"/>
  <c r="BF73" i="4" s="1"/>
  <c r="BF72" i="4" s="1"/>
  <c r="AW35" i="6"/>
  <c r="AW32" i="6"/>
  <c r="BJ90" i="4"/>
  <c r="BJ58" i="4"/>
  <c r="BF9" i="4"/>
  <c r="BG23" i="2"/>
  <c r="BF10" i="4"/>
  <c r="BF11" i="2"/>
  <c r="BE13" i="3"/>
  <c r="BE22" i="4" s="1"/>
  <c r="BE23" i="4" s="1"/>
  <c r="BE16" i="3"/>
  <c r="BL55" i="4"/>
  <c r="BM61" i="2"/>
  <c r="BM87" i="4"/>
  <c r="BN59" i="2"/>
  <c r="BM51" i="4"/>
  <c r="AT42" i="8"/>
  <c r="AT43" i="8" s="1"/>
  <c r="AS33" i="7"/>
  <c r="AS35" i="7" s="1"/>
  <c r="AS37" i="7" s="1"/>
  <c r="AS38" i="7" s="1"/>
  <c r="BE97" i="4"/>
  <c r="BE43" i="4" s="1"/>
  <c r="BM77" i="4"/>
  <c r="BN45" i="2"/>
  <c r="BM35" i="4"/>
  <c r="BQ14" i="2"/>
  <c r="BP10" i="3"/>
  <c r="BK20" i="6"/>
  <c r="BK41" i="4"/>
  <c r="BK17" i="6"/>
  <c r="BA11" i="6"/>
  <c r="BF32" i="2"/>
  <c r="BJ96" i="4"/>
  <c r="BJ64" i="4"/>
  <c r="BC13" i="4"/>
  <c r="BC6" i="4"/>
  <c r="BC9" i="6" s="1"/>
  <c r="BC11" i="6" s="1"/>
  <c r="BC12" i="6" s="1"/>
  <c r="BJ94" i="4"/>
  <c r="BJ62" i="4"/>
  <c r="BJ89" i="4"/>
  <c r="BJ57" i="4"/>
  <c r="BC16" i="6"/>
  <c r="BC53" i="4"/>
  <c r="BC13" i="6" l="1"/>
  <c r="BC25" i="6"/>
  <c r="BN78" i="4"/>
  <c r="BO46" i="2"/>
  <c r="BN36" i="4"/>
  <c r="BE7" i="6"/>
  <c r="BE7" i="4"/>
  <c r="BE17" i="3"/>
  <c r="BG11" i="2"/>
  <c r="BF13" i="3"/>
  <c r="BF16" i="3"/>
  <c r="BN77" i="4"/>
  <c r="BO45" i="2"/>
  <c r="BN35" i="4"/>
  <c r="BF71" i="4"/>
  <c r="BF12" i="4"/>
  <c r="BF10" i="6" s="1"/>
  <c r="BG52" i="2"/>
  <c r="BI22" i="6"/>
  <c r="BI68" i="4"/>
  <c r="BF22" i="4"/>
  <c r="BF23" i="4" s="1"/>
  <c r="BG32" i="2"/>
  <c r="BG9" i="4"/>
  <c r="BH23" i="2"/>
  <c r="BG10" i="4"/>
  <c r="AY26" i="6"/>
  <c r="AY31" i="6"/>
  <c r="BK96" i="4"/>
  <c r="BK64" i="4"/>
  <c r="BE44" i="4"/>
  <c r="BE16" i="6"/>
  <c r="BE53" i="4"/>
  <c r="BD6" i="4"/>
  <c r="BD9" i="6" s="1"/>
  <c r="BD11" i="6" s="1"/>
  <c r="BD13" i="4"/>
  <c r="BK89" i="4"/>
  <c r="BK57" i="4"/>
  <c r="BO28" i="2"/>
  <c r="BN17" i="4"/>
  <c r="BD16" i="6"/>
  <c r="BD23" i="6" s="1"/>
  <c r="BD53" i="4"/>
  <c r="BM40" i="4"/>
  <c r="BE15" i="6"/>
  <c r="BE30" i="4"/>
  <c r="BL6" i="6"/>
  <c r="BL67" i="2"/>
  <c r="BL63" i="2"/>
  <c r="BL64" i="2"/>
  <c r="BL68" i="2"/>
  <c r="BL65" i="2"/>
  <c r="BM9" i="3"/>
  <c r="BM11" i="3" s="1"/>
  <c r="BL72" i="2"/>
  <c r="BL66" i="4" s="1"/>
  <c r="BL71" i="2"/>
  <c r="BL65" i="4" s="1"/>
  <c r="BL70" i="2"/>
  <c r="BL69" i="2"/>
  <c r="BL66" i="2"/>
  <c r="BL17" i="6"/>
  <c r="BK90" i="4"/>
  <c r="BK58" i="4"/>
  <c r="BN76" i="4"/>
  <c r="BO44" i="2"/>
  <c r="BN34" i="4"/>
  <c r="BK95" i="4"/>
  <c r="BK63" i="4"/>
  <c r="BD12" i="6"/>
  <c r="BA12" i="6"/>
  <c r="AU42" i="8"/>
  <c r="AU43" i="8" s="1"/>
  <c r="AT33" i="7"/>
  <c r="AT35" i="7" s="1"/>
  <c r="AT37" i="7" s="1"/>
  <c r="AT38" i="7" s="1"/>
  <c r="BE18" i="6"/>
  <c r="BK91" i="4"/>
  <c r="BK59" i="4"/>
  <c r="BM75" i="4"/>
  <c r="BK94" i="4"/>
  <c r="BK62" i="4"/>
  <c r="AV9" i="7"/>
  <c r="AW8" i="7"/>
  <c r="BX8" i="7"/>
  <c r="BM21" i="6"/>
  <c r="BK93" i="4"/>
  <c r="BK61" i="4"/>
  <c r="BJ67" i="4"/>
  <c r="BO59" i="2"/>
  <c r="BN87" i="4"/>
  <c r="BN51" i="4"/>
  <c r="AW6" i="8"/>
  <c r="AW36" i="6"/>
  <c r="BJ88" i="4"/>
  <c r="BF97" i="4"/>
  <c r="BF43" i="4" s="1"/>
  <c r="AZ36" i="6"/>
  <c r="AZ6" i="8"/>
  <c r="AZ14" i="8" s="1"/>
  <c r="AZ25" i="8" s="1"/>
  <c r="AZ41" i="8" s="1"/>
  <c r="BL20" i="6"/>
  <c r="BL41" i="4"/>
  <c r="BN80" i="4"/>
  <c r="BO48" i="2"/>
  <c r="BQ10" i="3"/>
  <c r="BR14" i="2"/>
  <c r="BH51" i="2"/>
  <c r="BF20" i="4"/>
  <c r="BF26" i="4"/>
  <c r="BF28" i="4" s="1"/>
  <c r="BF29" i="4" s="1"/>
  <c r="BF19" i="6" s="1"/>
  <c r="BF18" i="6" s="1"/>
  <c r="BG25" i="4"/>
  <c r="BH36" i="2"/>
  <c r="BB31" i="6"/>
  <c r="BB26" i="6"/>
  <c r="BO81" i="4"/>
  <c r="BP49" i="2"/>
  <c r="BM55" i="4"/>
  <c r="BN61" i="2"/>
  <c r="BG18" i="4"/>
  <c r="BG19" i="4" s="1"/>
  <c r="BH29" i="2"/>
  <c r="BG6" i="3"/>
  <c r="BG73" i="4" s="1"/>
  <c r="BG72" i="4" s="1"/>
  <c r="BK92" i="4"/>
  <c r="BK60" i="4"/>
  <c r="BN86" i="4"/>
  <c r="BO58" i="2"/>
  <c r="BN50" i="4"/>
  <c r="BO79" i="4"/>
  <c r="BP47" i="2"/>
  <c r="BO37" i="4"/>
  <c r="AW14" i="8" l="1"/>
  <c r="AW25" i="8" s="1"/>
  <c r="AW41" i="8" s="1"/>
  <c r="BM20" i="6"/>
  <c r="BM41" i="4"/>
  <c r="BI51" i="2"/>
  <c r="AY35" i="6"/>
  <c r="AY32" i="6"/>
  <c r="BS14" i="2"/>
  <c r="BR10" i="3"/>
  <c r="BF7" i="6"/>
  <c r="BF17" i="3"/>
  <c r="BF7" i="4"/>
  <c r="BM17" i="6"/>
  <c r="BJ22" i="6"/>
  <c r="BJ68" i="4"/>
  <c r="BL91" i="4"/>
  <c r="BL59" i="4"/>
  <c r="BH9" i="4"/>
  <c r="BI23" i="2"/>
  <c r="BH10" i="4"/>
  <c r="BD13" i="6"/>
  <c r="BD25" i="6"/>
  <c r="BI29" i="2"/>
  <c r="BH18" i="4"/>
  <c r="BH19" i="4" s="1"/>
  <c r="BH6" i="3"/>
  <c r="BH73" i="4" s="1"/>
  <c r="BH72" i="4" s="1"/>
  <c r="BP81" i="4"/>
  <c r="BQ49" i="2"/>
  <c r="BN40" i="4"/>
  <c r="BL94" i="4"/>
  <c r="BL62" i="4"/>
  <c r="BO17" i="4"/>
  <c r="BP28" i="2"/>
  <c r="BH11" i="2"/>
  <c r="BG13" i="3"/>
  <c r="BG16" i="3"/>
  <c r="BL96" i="4"/>
  <c r="BL64" i="4"/>
  <c r="BO76" i="4"/>
  <c r="BP44" i="2"/>
  <c r="BO34" i="4"/>
  <c r="BL90" i="4"/>
  <c r="BL58" i="4"/>
  <c r="BK67" i="4"/>
  <c r="BG22" i="4"/>
  <c r="BG23" i="4" s="1"/>
  <c r="BH32" i="2"/>
  <c r="BN75" i="4"/>
  <c r="BL89" i="4"/>
  <c r="BL57" i="4"/>
  <c r="BK88" i="4"/>
  <c r="BE13" i="4"/>
  <c r="BE6" i="4"/>
  <c r="BE9" i="6" s="1"/>
  <c r="BE11" i="6" s="1"/>
  <c r="BO87" i="4"/>
  <c r="BP59" i="2"/>
  <c r="BO51" i="4"/>
  <c r="BE12" i="6"/>
  <c r="BG20" i="4"/>
  <c r="BG26" i="4"/>
  <c r="BG28" i="4" s="1"/>
  <c r="BG29" i="4" s="1"/>
  <c r="BG19" i="6" s="1"/>
  <c r="BG18" i="6" s="1"/>
  <c r="BG71" i="4"/>
  <c r="BG97" i="4" s="1"/>
  <c r="BG12" i="4"/>
  <c r="BG10" i="6" s="1"/>
  <c r="BN52" i="4"/>
  <c r="BL93" i="4"/>
  <c r="BL61" i="4"/>
  <c r="BN55" i="4"/>
  <c r="BO61" i="2"/>
  <c r="BM6" i="6"/>
  <c r="BM66" i="2"/>
  <c r="BM65" i="2"/>
  <c r="BM64" i="2"/>
  <c r="BN9" i="3"/>
  <c r="BN11" i="3" s="1"/>
  <c r="BM72" i="2"/>
  <c r="BM66" i="4" s="1"/>
  <c r="BM69" i="2"/>
  <c r="BM63" i="2"/>
  <c r="BM71" i="2"/>
  <c r="BM65" i="4" s="1"/>
  <c r="BM68" i="2"/>
  <c r="BM70" i="2"/>
  <c r="BM67" i="2"/>
  <c r="BO80" i="4"/>
  <c r="BP48" i="2"/>
  <c r="BO86" i="4"/>
  <c r="BO82" i="4" s="1"/>
  <c r="BP58" i="2"/>
  <c r="BO50" i="4"/>
  <c r="BO52" i="4" s="1"/>
  <c r="BO21" i="6" s="1"/>
  <c r="AW9" i="7"/>
  <c r="AW20" i="7" s="1"/>
  <c r="AX8" i="7"/>
  <c r="BO78" i="4"/>
  <c r="BP46" i="2"/>
  <c r="BO36" i="4"/>
  <c r="BN82" i="4"/>
  <c r="AV20" i="7"/>
  <c r="BX9" i="7"/>
  <c r="BX20" i="7" s="1"/>
  <c r="BO77" i="4"/>
  <c r="BO35" i="4"/>
  <c r="BP45" i="2"/>
  <c r="BP79" i="4"/>
  <c r="BQ47" i="2"/>
  <c r="BP37" i="4"/>
  <c r="BB35" i="6"/>
  <c r="BB32" i="6"/>
  <c r="BH25" i="4"/>
  <c r="BI36" i="2"/>
  <c r="BH52" i="2"/>
  <c r="BF16" i="6"/>
  <c r="AV42" i="8"/>
  <c r="AV43" i="8" s="1"/>
  <c r="AU33" i="7"/>
  <c r="AU35" i="7" s="1"/>
  <c r="AU37" i="7" s="1"/>
  <c r="AU38" i="7" s="1"/>
  <c r="BF44" i="4"/>
  <c r="BF53" i="4" s="1"/>
  <c r="BL92" i="4"/>
  <c r="BL60" i="4"/>
  <c r="BC26" i="6"/>
  <c r="BC31" i="6"/>
  <c r="BF15" i="6"/>
  <c r="BF23" i="6" s="1"/>
  <c r="BF30" i="4"/>
  <c r="BA13" i="6"/>
  <c r="BA25" i="6"/>
  <c r="BL95" i="4"/>
  <c r="BL63" i="4"/>
  <c r="BE23" i="6"/>
  <c r="BG43" i="4" l="1"/>
  <c r="BG44" i="4"/>
  <c r="BI25" i="4"/>
  <c r="BJ36" i="2"/>
  <c r="BP78" i="4"/>
  <c r="BQ46" i="2"/>
  <c r="BP36" i="4"/>
  <c r="BM89" i="4"/>
  <c r="BM57" i="4"/>
  <c r="BN21" i="6"/>
  <c r="BL67" i="4"/>
  <c r="BG7" i="6"/>
  <c r="BG7" i="4"/>
  <c r="BG17" i="3"/>
  <c r="BD31" i="6"/>
  <c r="BD26" i="6"/>
  <c r="BF13" i="4"/>
  <c r="BF6" i="4"/>
  <c r="BF9" i="6" s="1"/>
  <c r="BF11" i="6" s="1"/>
  <c r="BM63" i="4"/>
  <c r="BM95" i="4"/>
  <c r="BL88" i="4"/>
  <c r="AY6" i="8"/>
  <c r="AY36" i="6"/>
  <c r="BI11" i="2"/>
  <c r="BH13" i="3"/>
  <c r="BH22" i="4" s="1"/>
  <c r="BH23" i="4" s="1"/>
  <c r="BH16" i="3"/>
  <c r="BM92" i="4"/>
  <c r="BM60" i="4"/>
  <c r="BK22" i="6"/>
  <c r="BK68" i="4"/>
  <c r="BP77" i="4"/>
  <c r="BQ45" i="2"/>
  <c r="BP35" i="4"/>
  <c r="BP80" i="4"/>
  <c r="BQ48" i="2"/>
  <c r="BF12" i="6"/>
  <c r="BI32" i="2"/>
  <c r="BT14" i="2"/>
  <c r="BT10" i="3" s="1"/>
  <c r="BS10" i="3"/>
  <c r="BJ51" i="2"/>
  <c r="BP17" i="4"/>
  <c r="BQ28" i="2"/>
  <c r="BM90" i="4"/>
  <c r="BM58" i="4"/>
  <c r="BE25" i="6"/>
  <c r="BE13" i="6"/>
  <c r="AW42" i="8"/>
  <c r="AW43" i="8" s="1"/>
  <c r="AV33" i="7"/>
  <c r="BM93" i="4"/>
  <c r="BM61" i="4"/>
  <c r="BO55" i="4"/>
  <c r="BP61" i="2"/>
  <c r="BO40" i="4"/>
  <c r="BQ81" i="4"/>
  <c r="BR49" i="2"/>
  <c r="BJ23" i="2"/>
  <c r="BI9" i="4"/>
  <c r="BI10" i="4"/>
  <c r="BG30" i="4"/>
  <c r="BG15" i="6"/>
  <c r="BP86" i="4"/>
  <c r="BP82" i="4" s="1"/>
  <c r="BQ58" i="2"/>
  <c r="BP50" i="4"/>
  <c r="BN20" i="6"/>
  <c r="BN41" i="4"/>
  <c r="BN17" i="6"/>
  <c r="BP76" i="4"/>
  <c r="BP75" i="4" s="1"/>
  <c r="BQ44" i="2"/>
  <c r="BP34" i="4"/>
  <c r="BP40" i="4" s="1"/>
  <c r="BC35" i="6"/>
  <c r="BC32" i="6"/>
  <c r="BH71" i="4"/>
  <c r="BY71" i="4" s="1"/>
  <c r="BH12" i="4"/>
  <c r="BH10" i="6" s="1"/>
  <c r="BB6" i="8"/>
  <c r="BB14" i="8" s="1"/>
  <c r="BB25" i="8" s="1"/>
  <c r="BB41" i="8" s="1"/>
  <c r="BB36" i="6"/>
  <c r="BN6" i="6"/>
  <c r="BN70" i="2"/>
  <c r="BN63" i="2"/>
  <c r="BN69" i="2"/>
  <c r="BN68" i="2"/>
  <c r="BN67" i="2"/>
  <c r="BN71" i="2"/>
  <c r="BN65" i="4" s="1"/>
  <c r="BO9" i="3"/>
  <c r="BO11" i="3" s="1"/>
  <c r="BN65" i="2"/>
  <c r="BN72" i="2"/>
  <c r="BN66" i="4" s="1"/>
  <c r="BN64" i="2"/>
  <c r="BN66" i="2"/>
  <c r="BM91" i="4"/>
  <c r="BM59" i="4"/>
  <c r="BP87" i="4"/>
  <c r="BQ59" i="2"/>
  <c r="BP51" i="4"/>
  <c r="BM96" i="4"/>
  <c r="BM64" i="4"/>
  <c r="BO75" i="4"/>
  <c r="BY72" i="4"/>
  <c r="BQ79" i="4"/>
  <c r="BQ37" i="4"/>
  <c r="BR47" i="2"/>
  <c r="BA26" i="6"/>
  <c r="BA31" i="6"/>
  <c r="BI52" i="2"/>
  <c r="BM94" i="4"/>
  <c r="BM62" i="4"/>
  <c r="BH20" i="4"/>
  <c r="BH26" i="4"/>
  <c r="BH28" i="4" s="1"/>
  <c r="BH29" i="4" s="1"/>
  <c r="BH19" i="6" s="1"/>
  <c r="BH18" i="6" s="1"/>
  <c r="AY8" i="7"/>
  <c r="AX9" i="7"/>
  <c r="AX20" i="7" s="1"/>
  <c r="BJ29" i="2"/>
  <c r="BI18" i="4"/>
  <c r="BI19" i="4" s="1"/>
  <c r="BI6" i="3"/>
  <c r="BH7" i="6" l="1"/>
  <c r="BH17" i="3"/>
  <c r="BH7" i="4"/>
  <c r="BI22" i="4"/>
  <c r="BJ32" i="2"/>
  <c r="BO17" i="6"/>
  <c r="BL22" i="6"/>
  <c r="BL68" i="4"/>
  <c r="BM67" i="4"/>
  <c r="BK51" i="2"/>
  <c r="BN91" i="4"/>
  <c r="BN59" i="4"/>
  <c r="AV35" i="7"/>
  <c r="AV37" i="7" s="1"/>
  <c r="AV38" i="7" s="1"/>
  <c r="BX33" i="7"/>
  <c r="BX35" i="7" s="1"/>
  <c r="BX37" i="7" s="1"/>
  <c r="BX38" i="7" s="1"/>
  <c r="BH30" i="4"/>
  <c r="BH15" i="6"/>
  <c r="BQ80" i="4"/>
  <c r="BR48" i="2"/>
  <c r="BM88" i="4"/>
  <c r="BO6" i="6"/>
  <c r="BO72" i="2"/>
  <c r="BO66" i="4" s="1"/>
  <c r="BO71" i="2"/>
  <c r="BO65" i="4" s="1"/>
  <c r="BO70" i="2"/>
  <c r="BO69" i="2"/>
  <c r="BO66" i="2"/>
  <c r="BO68" i="2"/>
  <c r="BO65" i="2"/>
  <c r="BP9" i="3"/>
  <c r="BP11" i="3" s="1"/>
  <c r="BO67" i="2"/>
  <c r="BO64" i="2"/>
  <c r="BO63" i="2"/>
  <c r="AX42" i="8"/>
  <c r="AX43" i="8" s="1"/>
  <c r="AW33" i="7"/>
  <c r="AW35" i="7" s="1"/>
  <c r="AW37" i="7" s="1"/>
  <c r="AW38" i="7" s="1"/>
  <c r="BI71" i="4"/>
  <c r="BI12" i="4"/>
  <c r="BW10" i="3"/>
  <c r="BW11" i="3" s="1"/>
  <c r="BX9" i="3" s="1"/>
  <c r="BX10" i="3"/>
  <c r="BY10" i="3"/>
  <c r="BZ10" i="3"/>
  <c r="BP20" i="6"/>
  <c r="BP41" i="4"/>
  <c r="BQ76" i="4"/>
  <c r="BR44" i="2"/>
  <c r="BQ34" i="4"/>
  <c r="BN96" i="4"/>
  <c r="BN64" i="4"/>
  <c r="BQ77" i="4"/>
  <c r="BQ35" i="4"/>
  <c r="BR45" i="2"/>
  <c r="BH97" i="4"/>
  <c r="BJ11" i="2"/>
  <c r="BI13" i="3"/>
  <c r="BI16" i="3"/>
  <c r="AY14" i="8"/>
  <c r="AY25" i="8" s="1"/>
  <c r="AY41" i="8" s="1"/>
  <c r="BN94" i="4"/>
  <c r="BN62" i="4"/>
  <c r="BE26" i="6"/>
  <c r="BE31" i="6"/>
  <c r="BN89" i="4"/>
  <c r="BN57" i="4"/>
  <c r="BQ78" i="4"/>
  <c r="BR46" i="2"/>
  <c r="BQ36" i="4"/>
  <c r="BR81" i="4"/>
  <c r="BS49" i="2"/>
  <c r="BR28" i="2"/>
  <c r="BQ17" i="4"/>
  <c r="BJ18" i="4"/>
  <c r="BJ19" i="4" s="1"/>
  <c r="BK29" i="2"/>
  <c r="BJ6" i="3"/>
  <c r="BJ73" i="4" s="1"/>
  <c r="BJ72" i="4" s="1"/>
  <c r="BA35" i="6"/>
  <c r="BA32" i="6"/>
  <c r="BI20" i="4"/>
  <c r="BI26" i="4"/>
  <c r="BI28" i="4" s="1"/>
  <c r="BG13" i="4"/>
  <c r="BG6" i="4"/>
  <c r="BG9" i="6" s="1"/>
  <c r="BG11" i="6" s="1"/>
  <c r="BG12" i="6" s="1"/>
  <c r="BN93" i="4"/>
  <c r="BN61" i="4"/>
  <c r="BN95" i="4"/>
  <c r="BN63" i="4"/>
  <c r="BQ87" i="4"/>
  <c r="BR59" i="2"/>
  <c r="BQ51" i="4"/>
  <c r="BJ9" i="4"/>
  <c r="BK23" i="2"/>
  <c r="BJ10" i="4"/>
  <c r="BN92" i="4"/>
  <c r="BN60" i="4"/>
  <c r="BD32" i="6"/>
  <c r="BD35" i="6"/>
  <c r="BC6" i="8"/>
  <c r="BC14" i="8" s="1"/>
  <c r="BC25" i="8" s="1"/>
  <c r="BC41" i="8" s="1"/>
  <c r="BC36" i="6"/>
  <c r="AZ8" i="7"/>
  <c r="AY9" i="7"/>
  <c r="AY20" i="7" s="1"/>
  <c r="BF25" i="6"/>
  <c r="BF13" i="6"/>
  <c r="BJ52" i="2"/>
  <c r="BJ25" i="4"/>
  <c r="BK36" i="2"/>
  <c r="BP52" i="4"/>
  <c r="BP21" i="6" s="1"/>
  <c r="BO20" i="6"/>
  <c r="BO41" i="4"/>
  <c r="BI73" i="4"/>
  <c r="BI72" i="4" s="1"/>
  <c r="BR79" i="4"/>
  <c r="BS47" i="2"/>
  <c r="BR37" i="4"/>
  <c r="BN90" i="4"/>
  <c r="BN58" i="4"/>
  <c r="BQ86" i="4"/>
  <c r="BQ50" i="4"/>
  <c r="BR58" i="2"/>
  <c r="BP55" i="4"/>
  <c r="BQ61" i="2"/>
  <c r="BG16" i="6"/>
  <c r="BG23" i="6" s="1"/>
  <c r="BG53" i="4"/>
  <c r="BG25" i="6" l="1"/>
  <c r="BG13" i="6"/>
  <c r="BL51" i="2"/>
  <c r="BN67" i="4"/>
  <c r="BM22" i="6"/>
  <c r="BM68" i="4"/>
  <c r="BK11" i="2"/>
  <c r="BJ13" i="3"/>
  <c r="BJ16" i="3"/>
  <c r="BY97" i="4"/>
  <c r="BH43" i="4"/>
  <c r="BH44" i="4"/>
  <c r="BN88" i="4"/>
  <c r="AX33" i="7"/>
  <c r="AX35" i="7" s="1"/>
  <c r="AX37" i="7" s="1"/>
  <c r="AX38" i="7" s="1"/>
  <c r="AY42" i="8"/>
  <c r="AY43" i="8" s="1"/>
  <c r="BI97" i="4"/>
  <c r="BD6" i="8"/>
  <c r="BD14" i="8" s="1"/>
  <c r="BD25" i="8" s="1"/>
  <c r="BD41" i="8" s="1"/>
  <c r="BD36" i="6"/>
  <c r="BE35" i="6"/>
  <c r="BE32" i="6"/>
  <c r="BO89" i="4"/>
  <c r="BO57" i="4"/>
  <c r="BO96" i="4"/>
  <c r="BO64" i="4"/>
  <c r="BJ97" i="4"/>
  <c r="BJ43" i="4" s="1"/>
  <c r="BQ40" i="4"/>
  <c r="BO90" i="4"/>
  <c r="BO58" i="4"/>
  <c r="BR80" i="4"/>
  <c r="BS48" i="2"/>
  <c r="BO95" i="4"/>
  <c r="BO63" i="4"/>
  <c r="AZ9" i="7"/>
  <c r="AZ20" i="7" s="1"/>
  <c r="BA8" i="7"/>
  <c r="BA6" i="8"/>
  <c r="BA36" i="6"/>
  <c r="BQ55" i="4"/>
  <c r="BR61" i="2"/>
  <c r="BK18" i="4"/>
  <c r="BK19" i="4" s="1"/>
  <c r="BL29" i="2"/>
  <c r="BK6" i="3"/>
  <c r="BK73" i="4" s="1"/>
  <c r="BK72" i="4" s="1"/>
  <c r="BR76" i="4"/>
  <c r="BS44" i="2"/>
  <c r="BR34" i="4"/>
  <c r="BO93" i="4"/>
  <c r="BO61" i="4"/>
  <c r="BP17" i="6"/>
  <c r="BL36" i="2"/>
  <c r="BK25" i="4"/>
  <c r="BJ26" i="4"/>
  <c r="BJ28" i="4" s="1"/>
  <c r="BJ29" i="4" s="1"/>
  <c r="BJ19" i="6" s="1"/>
  <c r="BJ18" i="6" s="1"/>
  <c r="BJ20" i="4"/>
  <c r="BQ75" i="4"/>
  <c r="BJ22" i="4"/>
  <c r="BJ23" i="4" s="1"/>
  <c r="BK32" i="2"/>
  <c r="BP6" i="6"/>
  <c r="BP66" i="2"/>
  <c r="BP68" i="2"/>
  <c r="BP72" i="2"/>
  <c r="BP66" i="4" s="1"/>
  <c r="BP69" i="2"/>
  <c r="BP71" i="2"/>
  <c r="BP65" i="4" s="1"/>
  <c r="BP65" i="2"/>
  <c r="BP70" i="2"/>
  <c r="BP67" i="2"/>
  <c r="BP64" i="2"/>
  <c r="BQ9" i="3"/>
  <c r="BQ11" i="3" s="1"/>
  <c r="BP63" i="2"/>
  <c r="BI23" i="4"/>
  <c r="BX11" i="3"/>
  <c r="BY9" i="3" s="1"/>
  <c r="BY11" i="3" s="1"/>
  <c r="BZ9" i="3" s="1"/>
  <c r="BZ11" i="3" s="1"/>
  <c r="BR87" i="4"/>
  <c r="BS59" i="2"/>
  <c r="BR51" i="4"/>
  <c r="BR36" i="4"/>
  <c r="BR78" i="4"/>
  <c r="BS46" i="2"/>
  <c r="BI10" i="6"/>
  <c r="BR86" i="4"/>
  <c r="BR82" i="4" s="1"/>
  <c r="BR50" i="4"/>
  <c r="BR52" i="4" s="1"/>
  <c r="BR21" i="6" s="1"/>
  <c r="BS58" i="2"/>
  <c r="BI29" i="4"/>
  <c r="BQ52" i="4"/>
  <c r="BQ21" i="6" s="1"/>
  <c r="BI15" i="6"/>
  <c r="BI30" i="4"/>
  <c r="BO91" i="4"/>
  <c r="BO59" i="4"/>
  <c r="BH6" i="4"/>
  <c r="BH9" i="6" s="1"/>
  <c r="BH11" i="6" s="1"/>
  <c r="BH12" i="6" s="1"/>
  <c r="BH13" i="4"/>
  <c r="BR77" i="4"/>
  <c r="BS45" i="2"/>
  <c r="BR35" i="4"/>
  <c r="BK52" i="2"/>
  <c r="BJ71" i="4"/>
  <c r="BJ12" i="4"/>
  <c r="BJ10" i="6" s="1"/>
  <c r="BO62" i="4"/>
  <c r="BO94" i="4"/>
  <c r="BF31" i="6"/>
  <c r="BF26" i="6"/>
  <c r="BS79" i="4"/>
  <c r="BS37" i="4"/>
  <c r="BT47" i="2"/>
  <c r="BQ82" i="4"/>
  <c r="BR17" i="4"/>
  <c r="BS28" i="2"/>
  <c r="BI7" i="6"/>
  <c r="BI7" i="4"/>
  <c r="BI17" i="3"/>
  <c r="BK9" i="4"/>
  <c r="BL23" i="2"/>
  <c r="BK10" i="4"/>
  <c r="BS81" i="4"/>
  <c r="BT49" i="2"/>
  <c r="BT81" i="4" s="1"/>
  <c r="BO92" i="4"/>
  <c r="BO60" i="4"/>
  <c r="BH13" i="6" l="1"/>
  <c r="BL25" i="4"/>
  <c r="BM36" i="2"/>
  <c r="BA14" i="8"/>
  <c r="BA25" i="8" s="1"/>
  <c r="BA41" i="8" s="1"/>
  <c r="BO67" i="4"/>
  <c r="BS87" i="4"/>
  <c r="BT59" i="2"/>
  <c r="BS51" i="4"/>
  <c r="BP95" i="4"/>
  <c r="BP63" i="4"/>
  <c r="BA9" i="7"/>
  <c r="BA20" i="7" s="1"/>
  <c r="BB8" i="7"/>
  <c r="BO88" i="4"/>
  <c r="BL11" i="2"/>
  <c r="BK13" i="3"/>
  <c r="BK16" i="3"/>
  <c r="BI13" i="4"/>
  <c r="BI6" i="4"/>
  <c r="BJ53" i="4"/>
  <c r="BR55" i="4"/>
  <c r="BS61" i="2"/>
  <c r="BP91" i="4"/>
  <c r="BP59" i="4"/>
  <c r="BL52" i="2"/>
  <c r="BP94" i="4"/>
  <c r="BP62" i="4"/>
  <c r="BE6" i="8"/>
  <c r="BE14" i="8" s="1"/>
  <c r="BE25" i="8" s="1"/>
  <c r="BE41" i="8" s="1"/>
  <c r="BE36" i="6"/>
  <c r="BK26" i="4"/>
  <c r="BK28" i="4" s="1"/>
  <c r="BK29" i="4" s="1"/>
  <c r="BK19" i="6" s="1"/>
  <c r="BK18" i="6" s="1"/>
  <c r="BK20" i="4"/>
  <c r="BK71" i="4"/>
  <c r="BK97" i="4" s="1"/>
  <c r="BK12" i="4"/>
  <c r="BK10" i="6" s="1"/>
  <c r="BP96" i="4"/>
  <c r="BP64" i="4"/>
  <c r="BL9" i="4"/>
  <c r="BM23" i="2"/>
  <c r="BL10" i="4"/>
  <c r="BQ17" i="6"/>
  <c r="BJ7" i="6"/>
  <c r="BJ17" i="3"/>
  <c r="BJ7" i="4"/>
  <c r="BJ44" i="4"/>
  <c r="BJ16" i="6" s="1"/>
  <c r="BN22" i="6"/>
  <c r="BN68" i="4"/>
  <c r="BI19" i="6"/>
  <c r="BR40" i="4"/>
  <c r="BS80" i="4"/>
  <c r="BT48" i="2"/>
  <c r="BT80" i="4" s="1"/>
  <c r="BM51" i="2"/>
  <c r="BT46" i="2"/>
  <c r="BS36" i="4"/>
  <c r="BS78" i="4"/>
  <c r="BF32" i="6"/>
  <c r="BF35" i="6"/>
  <c r="BS17" i="4"/>
  <c r="BT28" i="2"/>
  <c r="BP92" i="4"/>
  <c r="BP60" i="4"/>
  <c r="BS77" i="4"/>
  <c r="BT45" i="2"/>
  <c r="BS35" i="4"/>
  <c r="BS86" i="4"/>
  <c r="BS82" i="4" s="1"/>
  <c r="BS50" i="4"/>
  <c r="BT58" i="2"/>
  <c r="BP89" i="4"/>
  <c r="BP88" i="4" s="1"/>
  <c r="BP57" i="4"/>
  <c r="BK22" i="4"/>
  <c r="BL32" i="2"/>
  <c r="BS76" i="4"/>
  <c r="BT44" i="2"/>
  <c r="BS34" i="4"/>
  <c r="BI43" i="4"/>
  <c r="BI44" i="4"/>
  <c r="BJ15" i="6"/>
  <c r="BJ30" i="4"/>
  <c r="BH16" i="6"/>
  <c r="BH23" i="6" s="1"/>
  <c r="BH25" i="6" s="1"/>
  <c r="BH53" i="4"/>
  <c r="BQ6" i="6"/>
  <c r="BR9" i="3"/>
  <c r="BR11" i="3" s="1"/>
  <c r="BQ65" i="2"/>
  <c r="BQ69" i="2"/>
  <c r="BQ66" i="2"/>
  <c r="BQ63" i="2"/>
  <c r="BQ68" i="2"/>
  <c r="BQ70" i="2"/>
  <c r="BQ67" i="2"/>
  <c r="BQ71" i="2"/>
  <c r="BQ65" i="4" s="1"/>
  <c r="BQ64" i="2"/>
  <c r="BQ72" i="2"/>
  <c r="BQ66" i="4" s="1"/>
  <c r="BR75" i="4"/>
  <c r="AZ42" i="8"/>
  <c r="AZ43" i="8" s="1"/>
  <c r="AY33" i="7"/>
  <c r="AY35" i="7" s="1"/>
  <c r="AY37" i="7" s="1"/>
  <c r="AY38" i="7" s="1"/>
  <c r="BT79" i="4"/>
  <c r="BT37" i="4"/>
  <c r="BP90" i="4"/>
  <c r="BP58" i="4"/>
  <c r="BP93" i="4"/>
  <c r="BP61" i="4"/>
  <c r="BL18" i="4"/>
  <c r="BL19" i="4" s="1"/>
  <c r="BM29" i="2"/>
  <c r="BL6" i="3"/>
  <c r="BL73" i="4" s="1"/>
  <c r="BL72" i="4" s="1"/>
  <c r="BQ20" i="6"/>
  <c r="BQ41" i="4"/>
  <c r="BG26" i="6"/>
  <c r="BG31" i="6"/>
  <c r="BH31" i="6" l="1"/>
  <c r="BH26" i="6"/>
  <c r="BK43" i="4"/>
  <c r="BK44" i="4"/>
  <c r="BA42" i="8"/>
  <c r="BA43" i="8" s="1"/>
  <c r="AZ33" i="7"/>
  <c r="AZ35" i="7" s="1"/>
  <c r="AZ37" i="7" s="1"/>
  <c r="AZ38" i="7" s="1"/>
  <c r="BQ96" i="4"/>
  <c r="BQ64" i="4"/>
  <c r="BT36" i="4"/>
  <c r="BT78" i="4"/>
  <c r="BI9" i="6"/>
  <c r="BR17" i="6"/>
  <c r="BQ94" i="4"/>
  <c r="BQ62" i="4"/>
  <c r="BI16" i="6"/>
  <c r="BI53" i="4"/>
  <c r="BN51" i="2"/>
  <c r="BM52" i="2"/>
  <c r="BO22" i="6"/>
  <c r="BO68" i="4"/>
  <c r="BT86" i="4"/>
  <c r="BT50" i="4"/>
  <c r="BJ23" i="6"/>
  <c r="BQ89" i="4"/>
  <c r="BQ57" i="4"/>
  <c r="BS40" i="4"/>
  <c r="BL71" i="4"/>
  <c r="BL97" i="4" s="1"/>
  <c r="BL12" i="4"/>
  <c r="BK7" i="6"/>
  <c r="BK7" i="4"/>
  <c r="BK17" i="3"/>
  <c r="BT17" i="4"/>
  <c r="BV29" i="2"/>
  <c r="BW29" i="2"/>
  <c r="BX29" i="2"/>
  <c r="BY29" i="2"/>
  <c r="BZ29" i="2"/>
  <c r="BT76" i="4"/>
  <c r="BT34" i="4"/>
  <c r="BM9" i="4"/>
  <c r="BN23" i="2"/>
  <c r="BM10" i="4"/>
  <c r="BM18" i="4"/>
  <c r="BM19" i="4" s="1"/>
  <c r="BN29" i="2"/>
  <c r="BM6" i="3"/>
  <c r="BM73" i="4" s="1"/>
  <c r="BM72" i="4" s="1"/>
  <c r="BK30" i="4"/>
  <c r="BL20" i="4"/>
  <c r="BL26" i="4"/>
  <c r="BL28" i="4" s="1"/>
  <c r="BL29" i="4" s="1"/>
  <c r="BL19" i="6" s="1"/>
  <c r="BL18" i="6" s="1"/>
  <c r="BS52" i="4"/>
  <c r="BS21" i="6" s="1"/>
  <c r="BF6" i="8"/>
  <c r="BF14" i="8" s="1"/>
  <c r="BF25" i="8" s="1"/>
  <c r="BF41" i="8" s="1"/>
  <c r="BF36" i="6"/>
  <c r="BQ93" i="4"/>
  <c r="BQ61" i="4"/>
  <c r="BG32" i="6"/>
  <c r="BG35" i="6"/>
  <c r="BQ92" i="4"/>
  <c r="BQ60" i="4"/>
  <c r="BQ95" i="4"/>
  <c r="BQ63" i="4"/>
  <c r="BM11" i="2"/>
  <c r="BL13" i="3"/>
  <c r="BL22" i="4" s="1"/>
  <c r="BL16" i="3"/>
  <c r="BM25" i="4"/>
  <c r="BN36" i="2"/>
  <c r="BQ91" i="4"/>
  <c r="BQ59" i="4"/>
  <c r="BM32" i="2"/>
  <c r="BR20" i="6"/>
  <c r="BR41" i="4"/>
  <c r="BQ90" i="4"/>
  <c r="BQ58" i="4"/>
  <c r="BJ6" i="4"/>
  <c r="BJ9" i="6" s="1"/>
  <c r="BJ11" i="6" s="1"/>
  <c r="BJ12" i="6" s="1"/>
  <c r="BJ13" i="4"/>
  <c r="BT87" i="4"/>
  <c r="BT51" i="4"/>
  <c r="BT77" i="4"/>
  <c r="BT35" i="4"/>
  <c r="BV37" i="4"/>
  <c r="BW37" i="4"/>
  <c r="BX37" i="4"/>
  <c r="BY37" i="4"/>
  <c r="BZ37" i="4"/>
  <c r="BS75" i="4"/>
  <c r="BR6" i="6"/>
  <c r="BR69" i="2"/>
  <c r="BR66" i="2"/>
  <c r="BR63" i="2"/>
  <c r="BR68" i="2"/>
  <c r="BR70" i="2"/>
  <c r="BR65" i="2"/>
  <c r="BR67" i="2"/>
  <c r="BR64" i="2"/>
  <c r="BR72" i="2"/>
  <c r="BR66" i="4" s="1"/>
  <c r="BR71" i="2"/>
  <c r="BR65" i="4" s="1"/>
  <c r="BS9" i="3"/>
  <c r="BS11" i="3" s="1"/>
  <c r="BK23" i="4"/>
  <c r="BK15" i="6" s="1"/>
  <c r="BB9" i="7"/>
  <c r="BB20" i="7" s="1"/>
  <c r="BC8" i="7"/>
  <c r="BP67" i="4"/>
  <c r="BI18" i="6"/>
  <c r="BS55" i="4"/>
  <c r="BT61" i="2"/>
  <c r="BK23" i="6" l="1"/>
  <c r="BL43" i="4"/>
  <c r="BL44" i="4"/>
  <c r="BL23" i="4"/>
  <c r="BJ25" i="6"/>
  <c r="BJ13" i="6"/>
  <c r="BI23" i="6"/>
  <c r="BR93" i="4"/>
  <c r="BR61" i="4"/>
  <c r="BV36" i="4"/>
  <c r="BW36" i="4"/>
  <c r="BX36" i="4"/>
  <c r="BY36" i="4"/>
  <c r="BZ36" i="4"/>
  <c r="BO36" i="2"/>
  <c r="BN25" i="4"/>
  <c r="BR94" i="4"/>
  <c r="BR62" i="4"/>
  <c r="BR89" i="4"/>
  <c r="BR57" i="4"/>
  <c r="BR63" i="4"/>
  <c r="BR95" i="4"/>
  <c r="BT52" i="4"/>
  <c r="BR96" i="4"/>
  <c r="BR64" i="4"/>
  <c r="BS20" i="6"/>
  <c r="BS41" i="4"/>
  <c r="BQ67" i="4"/>
  <c r="BL15" i="6"/>
  <c r="BL30" i="4"/>
  <c r="BT82" i="4"/>
  <c r="BZ82" i="4" s="1"/>
  <c r="BB42" i="8"/>
  <c r="BB43" i="8" s="1"/>
  <c r="BA33" i="7"/>
  <c r="BA35" i="7" s="1"/>
  <c r="BA37" i="7" s="1"/>
  <c r="BA38" i="7" s="1"/>
  <c r="BN9" i="4"/>
  <c r="BO23" i="2"/>
  <c r="BN10" i="4"/>
  <c r="BT40" i="4"/>
  <c r="BV34" i="4"/>
  <c r="BW34" i="4"/>
  <c r="BX34" i="4"/>
  <c r="BY34" i="4"/>
  <c r="BZ34" i="4"/>
  <c r="BD8" i="7"/>
  <c r="BC9" i="7"/>
  <c r="BC20" i="7" s="1"/>
  <c r="BL7" i="6"/>
  <c r="BL17" i="3"/>
  <c r="BL7" i="4"/>
  <c r="BS6" i="6"/>
  <c r="BT9" i="3"/>
  <c r="BT11" i="3" s="1"/>
  <c r="BS72" i="2"/>
  <c r="BS66" i="4" s="1"/>
  <c r="BS66" i="2"/>
  <c r="BS63" i="2"/>
  <c r="BS70" i="2"/>
  <c r="BS65" i="2"/>
  <c r="BS67" i="2"/>
  <c r="BS64" i="2"/>
  <c r="BS68" i="2"/>
  <c r="BS69" i="2"/>
  <c r="BS71" i="2"/>
  <c r="BS65" i="4" s="1"/>
  <c r="BM97" i="4"/>
  <c r="BM43" i="4" s="1"/>
  <c r="BK12" i="6"/>
  <c r="BT75" i="4"/>
  <c r="BZ75" i="4" s="1"/>
  <c r="BN11" i="2"/>
  <c r="BM13" i="3"/>
  <c r="BM16" i="3"/>
  <c r="BP22" i="6"/>
  <c r="BP68" i="4"/>
  <c r="BO51" i="2"/>
  <c r="BQ88" i="4"/>
  <c r="BR92" i="4"/>
  <c r="BR60" i="4"/>
  <c r="BO29" i="2"/>
  <c r="BN18" i="4"/>
  <c r="BN19" i="4" s="1"/>
  <c r="BN6" i="3"/>
  <c r="BN73" i="4" s="1"/>
  <c r="BN72" i="4" s="1"/>
  <c r="BV17" i="4"/>
  <c r="BW17" i="4"/>
  <c r="BX17" i="4"/>
  <c r="BY17" i="4"/>
  <c r="BZ17" i="4"/>
  <c r="BK16" i="6"/>
  <c r="BK53" i="4"/>
  <c r="BG6" i="8"/>
  <c r="BG14" i="8" s="1"/>
  <c r="BG25" i="8" s="1"/>
  <c r="BG41" i="8" s="1"/>
  <c r="BG36" i="6"/>
  <c r="BM20" i="4"/>
  <c r="BM26" i="4"/>
  <c r="BM28" i="4" s="1"/>
  <c r="BM29" i="4" s="1"/>
  <c r="BM19" i="6" s="1"/>
  <c r="BT55" i="4"/>
  <c r="BV61" i="2"/>
  <c r="BW61" i="2"/>
  <c r="BX61" i="2"/>
  <c r="BY61" i="2"/>
  <c r="BZ61" i="2"/>
  <c r="BR90" i="4"/>
  <c r="BR58" i="4"/>
  <c r="BM22" i="4"/>
  <c r="BM23" i="4" s="1"/>
  <c r="BN32" i="2"/>
  <c r="BI11" i="6"/>
  <c r="BH35" i="6"/>
  <c r="BH32" i="6"/>
  <c r="BS17" i="6"/>
  <c r="BM71" i="4"/>
  <c r="BM12" i="4"/>
  <c r="BM10" i="6" s="1"/>
  <c r="BK13" i="4"/>
  <c r="BK6" i="4"/>
  <c r="BK9" i="6" s="1"/>
  <c r="BK11" i="6" s="1"/>
  <c r="BN52" i="2"/>
  <c r="BR91" i="4"/>
  <c r="BR59" i="4"/>
  <c r="BV35" i="4"/>
  <c r="BW35" i="4"/>
  <c r="BX35" i="4"/>
  <c r="BY35" i="4"/>
  <c r="BZ35" i="4"/>
  <c r="BL10" i="6"/>
  <c r="BH6" i="8" l="1"/>
  <c r="BH14" i="8" s="1"/>
  <c r="BH25" i="8" s="1"/>
  <c r="BH41" i="8" s="1"/>
  <c r="BH36" i="6"/>
  <c r="BL13" i="4"/>
  <c r="BL6" i="4"/>
  <c r="BR67" i="4"/>
  <c r="BO52" i="2"/>
  <c r="BS95" i="4"/>
  <c r="BS63" i="4"/>
  <c r="BC42" i="8"/>
  <c r="BC43" i="8" s="1"/>
  <c r="BB33" i="7"/>
  <c r="BB35" i="7" s="1"/>
  <c r="BB37" i="7" s="1"/>
  <c r="BB38" i="7" s="1"/>
  <c r="BR88" i="4"/>
  <c r="BT6" i="6"/>
  <c r="BZ6" i="6" s="1"/>
  <c r="BT72" i="2"/>
  <c r="BT66" i="4" s="1"/>
  <c r="BT65" i="2"/>
  <c r="BT63" i="2"/>
  <c r="BT70" i="2"/>
  <c r="BT67" i="2"/>
  <c r="BT64" i="2"/>
  <c r="BT69" i="2"/>
  <c r="BT66" i="2"/>
  <c r="BT71" i="2"/>
  <c r="BT65" i="4" s="1"/>
  <c r="BT68" i="2"/>
  <c r="BM44" i="4"/>
  <c r="BP51" i="2"/>
  <c r="BS94" i="4"/>
  <c r="BS62" i="4"/>
  <c r="BJ31" i="6"/>
  <c r="BJ26" i="6"/>
  <c r="BM15" i="6"/>
  <c r="BM30" i="4"/>
  <c r="BT20" i="6"/>
  <c r="BT41" i="4"/>
  <c r="BV40" i="4"/>
  <c r="BW40" i="4"/>
  <c r="BX40" i="4"/>
  <c r="BY40" i="4"/>
  <c r="BZ40" i="4"/>
  <c r="BO18" i="4"/>
  <c r="BO19" i="4" s="1"/>
  <c r="BP29" i="2"/>
  <c r="BO6" i="3"/>
  <c r="BO73" i="4" s="1"/>
  <c r="BO72" i="4" s="1"/>
  <c r="BT21" i="6"/>
  <c r="BV52" i="4"/>
  <c r="BW52" i="4"/>
  <c r="BX52" i="4"/>
  <c r="BY52" i="4"/>
  <c r="BZ52" i="4"/>
  <c r="BI12" i="6"/>
  <c r="BO32" i="2"/>
  <c r="BS90" i="4"/>
  <c r="BS58" i="4"/>
  <c r="BN71" i="4"/>
  <c r="BN12" i="4"/>
  <c r="BN10" i="6" s="1"/>
  <c r="BO9" i="4"/>
  <c r="BP23" i="2"/>
  <c r="BO10" i="4"/>
  <c r="BS93" i="4"/>
  <c r="BS61" i="4"/>
  <c r="BE8" i="7"/>
  <c r="BD9" i="7"/>
  <c r="BD20" i="7" s="1"/>
  <c r="BS91" i="4"/>
  <c r="BS59" i="4"/>
  <c r="BO25" i="4"/>
  <c r="BP36" i="2"/>
  <c r="BM7" i="6"/>
  <c r="BM17" i="3"/>
  <c r="BM7" i="4"/>
  <c r="BS96" i="4"/>
  <c r="BS64" i="4"/>
  <c r="BQ22" i="6"/>
  <c r="BQ68" i="4"/>
  <c r="BM18" i="6"/>
  <c r="BN97" i="4"/>
  <c r="BN43" i="4" s="1"/>
  <c r="BS92" i="4"/>
  <c r="BS60" i="4"/>
  <c r="BN26" i="4"/>
  <c r="BN28" i="4" s="1"/>
  <c r="BN29" i="4" s="1"/>
  <c r="BN19" i="6" s="1"/>
  <c r="BN18" i="6" s="1"/>
  <c r="BN20" i="4"/>
  <c r="BK25" i="6"/>
  <c r="BK13" i="6"/>
  <c r="BM16" i="6"/>
  <c r="BM53" i="4"/>
  <c r="BT17" i="6"/>
  <c r="BV55" i="4"/>
  <c r="BW55" i="4"/>
  <c r="BX55" i="4"/>
  <c r="BY55" i="4"/>
  <c r="BZ55" i="4"/>
  <c r="BO11" i="2"/>
  <c r="BN13" i="3"/>
  <c r="BN22" i="4" s="1"/>
  <c r="BN23" i="4" s="1"/>
  <c r="BN16" i="3"/>
  <c r="BS89" i="4"/>
  <c r="BS57" i="4"/>
  <c r="BL16" i="6"/>
  <c r="BL53" i="4"/>
  <c r="BK26" i="6" l="1"/>
  <c r="BK31" i="6"/>
  <c r="BN7" i="6"/>
  <c r="BN7" i="4"/>
  <c r="BN17" i="3"/>
  <c r="BN15" i="6"/>
  <c r="BN30" i="4"/>
  <c r="BQ23" i="2"/>
  <c r="BP9" i="4"/>
  <c r="BP10" i="4"/>
  <c r="BT93" i="4"/>
  <c r="BT61" i="4"/>
  <c r="BP52" i="2"/>
  <c r="BT94" i="4"/>
  <c r="BT62" i="4"/>
  <c r="BV41" i="4"/>
  <c r="BW41" i="4"/>
  <c r="BX41" i="4"/>
  <c r="BY41" i="4"/>
  <c r="BZ41" i="4"/>
  <c r="BP25" i="4"/>
  <c r="BQ36" i="2"/>
  <c r="BV21" i="6"/>
  <c r="BW21" i="6"/>
  <c r="BX21" i="6"/>
  <c r="BY21" i="6"/>
  <c r="BZ21" i="6"/>
  <c r="BJ32" i="6"/>
  <c r="BJ35" i="6"/>
  <c r="BN44" i="4"/>
  <c r="BE9" i="7"/>
  <c r="BE20" i="7" s="1"/>
  <c r="BF8" i="7"/>
  <c r="BO71" i="4"/>
  <c r="BO97" i="4" s="1"/>
  <c r="BO12" i="4"/>
  <c r="BO10" i="6" s="1"/>
  <c r="BP18" i="4"/>
  <c r="BP19" i="4" s="1"/>
  <c r="BQ29" i="2"/>
  <c r="BP6" i="3"/>
  <c r="BP73" i="4" s="1"/>
  <c r="BP72" i="4" s="1"/>
  <c r="BT89" i="4"/>
  <c r="BT57" i="4"/>
  <c r="BL9" i="6"/>
  <c r="BI25" i="6"/>
  <c r="BI13" i="6"/>
  <c r="BD42" i="8"/>
  <c r="BD43" i="8" s="1"/>
  <c r="BC33" i="7"/>
  <c r="BC35" i="7" s="1"/>
  <c r="BC37" i="7" s="1"/>
  <c r="BC38" i="7" s="1"/>
  <c r="BT95" i="4"/>
  <c r="BT63" i="4"/>
  <c r="BS88" i="4"/>
  <c r="BT90" i="4"/>
  <c r="BT58" i="4"/>
  <c r="BO13" i="3"/>
  <c r="BO22" i="4" s="1"/>
  <c r="BO23" i="4" s="1"/>
  <c r="BP11" i="2"/>
  <c r="BO16" i="3"/>
  <c r="BT96" i="4"/>
  <c r="BT64" i="4"/>
  <c r="BN16" i="6"/>
  <c r="BN53" i="4"/>
  <c r="BO26" i="4"/>
  <c r="BO28" i="4" s="1"/>
  <c r="BO29" i="4" s="1"/>
  <c r="BO19" i="6" s="1"/>
  <c r="BO18" i="6" s="1"/>
  <c r="BO20" i="4"/>
  <c r="BV17" i="6"/>
  <c r="BW17" i="6"/>
  <c r="BX17" i="6"/>
  <c r="BY17" i="6"/>
  <c r="BZ17" i="6"/>
  <c r="BT92" i="4"/>
  <c r="BT60" i="4"/>
  <c r="BM12" i="6"/>
  <c r="BM23" i="6"/>
  <c r="BQ51" i="2"/>
  <c r="BT91" i="4"/>
  <c r="BT59" i="4"/>
  <c r="BM13" i="4"/>
  <c r="BM6" i="4"/>
  <c r="BM9" i="6" s="1"/>
  <c r="BM11" i="6" s="1"/>
  <c r="BV20" i="6"/>
  <c r="BW20" i="6"/>
  <c r="BX20" i="6"/>
  <c r="BY20" i="6"/>
  <c r="BZ20" i="6"/>
  <c r="BS67" i="4"/>
  <c r="BR22" i="6"/>
  <c r="BR68" i="4"/>
  <c r="BL23" i="6"/>
  <c r="BP32" i="2"/>
  <c r="BO43" i="4" l="1"/>
  <c r="BO44" i="4"/>
  <c r="BT67" i="4"/>
  <c r="BV57" i="4"/>
  <c r="BW57" i="4"/>
  <c r="BX57" i="4"/>
  <c r="BY57" i="4"/>
  <c r="BZ57" i="4"/>
  <c r="BQ32" i="2"/>
  <c r="BP22" i="4"/>
  <c r="BP23" i="4" s="1"/>
  <c r="BP26" i="4"/>
  <c r="BP28" i="4" s="1"/>
  <c r="BP29" i="4" s="1"/>
  <c r="BP19" i="6" s="1"/>
  <c r="BP18" i="6" s="1"/>
  <c r="BP20" i="4"/>
  <c r="BR23" i="2"/>
  <c r="BQ9" i="4"/>
  <c r="BQ10" i="4"/>
  <c r="BQ52" i="2"/>
  <c r="BP13" i="3"/>
  <c r="BQ11" i="2"/>
  <c r="BP16" i="3"/>
  <c r="BR51" i="2"/>
  <c r="BO15" i="6"/>
  <c r="BO30" i="4"/>
  <c r="BN23" i="6"/>
  <c r="BP97" i="4"/>
  <c r="BP43" i="4" s="1"/>
  <c r="BN13" i="4"/>
  <c r="BN6" i="4"/>
  <c r="BL11" i="6"/>
  <c r="BQ18" i="4"/>
  <c r="BQ19" i="4" s="1"/>
  <c r="BR29" i="2"/>
  <c r="BQ6" i="3"/>
  <c r="BQ73" i="4" s="1"/>
  <c r="BQ72" i="4" s="1"/>
  <c r="BT88" i="4"/>
  <c r="BP71" i="4"/>
  <c r="BP12" i="4"/>
  <c r="BP10" i="6" s="1"/>
  <c r="BJ6" i="8"/>
  <c r="BJ14" i="8" s="1"/>
  <c r="BJ25" i="8" s="1"/>
  <c r="BJ41" i="8" s="1"/>
  <c r="BJ36" i="6"/>
  <c r="BK32" i="6"/>
  <c r="BK35" i="6"/>
  <c r="BM13" i="6"/>
  <c r="BM25" i="6"/>
  <c r="BO7" i="6"/>
  <c r="BO17" i="3"/>
  <c r="BO7" i="4"/>
  <c r="BQ25" i="4"/>
  <c r="BR36" i="2"/>
  <c r="BD33" i="7"/>
  <c r="BD35" i="7" s="1"/>
  <c r="BD37" i="7" s="1"/>
  <c r="BD38" i="7" s="1"/>
  <c r="BE42" i="8"/>
  <c r="BE43" i="8" s="1"/>
  <c r="BF9" i="7"/>
  <c r="BF20" i="7" s="1"/>
  <c r="BG8" i="7"/>
  <c r="BS22" i="6"/>
  <c r="BS68" i="4"/>
  <c r="BI26" i="6"/>
  <c r="BI31" i="6"/>
  <c r="BN9" i="6" l="1"/>
  <c r="BQ26" i="4"/>
  <c r="BQ28" i="4" s="1"/>
  <c r="BQ29" i="4" s="1"/>
  <c r="BQ19" i="6" s="1"/>
  <c r="BQ18" i="6" s="1"/>
  <c r="BQ20" i="4"/>
  <c r="BS51" i="2"/>
  <c r="BP7" i="6"/>
  <c r="BP17" i="3"/>
  <c r="BP7" i="4"/>
  <c r="BR25" i="4"/>
  <c r="BS36" i="2"/>
  <c r="BR32" i="2"/>
  <c r="BR11" i="2"/>
  <c r="BQ13" i="3"/>
  <c r="BQ22" i="4" s="1"/>
  <c r="BQ23" i="4" s="1"/>
  <c r="BQ16" i="3"/>
  <c r="BP16" i="6"/>
  <c r="BR52" i="2"/>
  <c r="BG9" i="7"/>
  <c r="BG20" i="7" s="1"/>
  <c r="BH8" i="7"/>
  <c r="BE33" i="7"/>
  <c r="BE35" i="7" s="1"/>
  <c r="BE37" i="7" s="1"/>
  <c r="BE38" i="7" s="1"/>
  <c r="BF42" i="8"/>
  <c r="BF43" i="8" s="1"/>
  <c r="BK6" i="8"/>
  <c r="BK14" i="8" s="1"/>
  <c r="BK25" i="8" s="1"/>
  <c r="BK41" i="8" s="1"/>
  <c r="BK36" i="6"/>
  <c r="BL12" i="6"/>
  <c r="BI32" i="6"/>
  <c r="BI35" i="6"/>
  <c r="BO6" i="4"/>
  <c r="BO9" i="6" s="1"/>
  <c r="BO11" i="6" s="1"/>
  <c r="BO13" i="4"/>
  <c r="BP44" i="4"/>
  <c r="BP53" i="4" s="1"/>
  <c r="BZ88" i="4"/>
  <c r="BQ71" i="4"/>
  <c r="BQ12" i="4"/>
  <c r="BQ10" i="6" s="1"/>
  <c r="BT22" i="6"/>
  <c r="BT68" i="4"/>
  <c r="BO12" i="6"/>
  <c r="BM26" i="6"/>
  <c r="BM31" i="6"/>
  <c r="BQ97" i="4"/>
  <c r="BQ43" i="4" s="1"/>
  <c r="BR9" i="4"/>
  <c r="BS23" i="2"/>
  <c r="BR10" i="4"/>
  <c r="BR18" i="4"/>
  <c r="BR19" i="4" s="1"/>
  <c r="BS29" i="2"/>
  <c r="BR6" i="3"/>
  <c r="BR73" i="4" s="1"/>
  <c r="BR72" i="4" s="1"/>
  <c r="BP15" i="6"/>
  <c r="BP23" i="6" s="1"/>
  <c r="BP30" i="4"/>
  <c r="BO16" i="6"/>
  <c r="BO23" i="6" s="1"/>
  <c r="BO53" i="4"/>
  <c r="BL25" i="6" l="1"/>
  <c r="BL13" i="6"/>
  <c r="BV22" i="6"/>
  <c r="BW22" i="6"/>
  <c r="BX22" i="6"/>
  <c r="BY22" i="6"/>
  <c r="BZ22" i="6"/>
  <c r="BF33" i="7"/>
  <c r="BF35" i="7" s="1"/>
  <c r="BF37" i="7" s="1"/>
  <c r="BF38" i="7" s="1"/>
  <c r="BG42" i="8"/>
  <c r="BG43" i="8" s="1"/>
  <c r="BR22" i="4"/>
  <c r="BR23" i="4" s="1"/>
  <c r="BS32" i="2"/>
  <c r="BP13" i="4"/>
  <c r="BP6" i="4"/>
  <c r="BP9" i="6" s="1"/>
  <c r="BP11" i="6" s="1"/>
  <c r="BP12" i="6" s="1"/>
  <c r="BM35" i="6"/>
  <c r="BM32" i="6"/>
  <c r="BO25" i="6"/>
  <c r="BO13" i="6"/>
  <c r="BI8" i="7"/>
  <c r="BH9" i="7"/>
  <c r="BY8" i="7"/>
  <c r="BS11" i="2"/>
  <c r="BR13" i="3"/>
  <c r="BR16" i="3"/>
  <c r="BV68" i="4"/>
  <c r="BW68" i="4"/>
  <c r="BX68" i="4"/>
  <c r="BY68" i="4"/>
  <c r="BZ68" i="4"/>
  <c r="BS18" i="4"/>
  <c r="BS19" i="4" s="1"/>
  <c r="BT29" i="2"/>
  <c r="BS6" i="3"/>
  <c r="BS73" i="4" s="1"/>
  <c r="BS72" i="4" s="1"/>
  <c r="BS52" i="2"/>
  <c r="BT51" i="2"/>
  <c r="BN11" i="6"/>
  <c r="BR26" i="4"/>
  <c r="BR28" i="4" s="1"/>
  <c r="BR29" i="4" s="1"/>
  <c r="BR19" i="6" s="1"/>
  <c r="BR18" i="6" s="1"/>
  <c r="BR20" i="4"/>
  <c r="BQ44" i="4"/>
  <c r="BQ16" i="6" s="1"/>
  <c r="BS25" i="4"/>
  <c r="BT36" i="2"/>
  <c r="BT25" i="4" s="1"/>
  <c r="BR71" i="4"/>
  <c r="BR97" i="4" s="1"/>
  <c r="BR12" i="4"/>
  <c r="BR10" i="6" s="1"/>
  <c r="BQ30" i="4"/>
  <c r="BQ15" i="6"/>
  <c r="BT23" i="2"/>
  <c r="BS9" i="4"/>
  <c r="BS10" i="4"/>
  <c r="BI6" i="8"/>
  <c r="BI36" i="6"/>
  <c r="BQ17" i="3"/>
  <c r="BQ7" i="6"/>
  <c r="BQ7" i="4"/>
  <c r="BP25" i="6" l="1"/>
  <c r="BP13" i="6"/>
  <c r="BR43" i="4"/>
  <c r="BR44" i="4"/>
  <c r="BT32" i="2"/>
  <c r="BI14" i="8"/>
  <c r="BI25" i="8" s="1"/>
  <c r="BI41" i="8" s="1"/>
  <c r="BS71" i="4"/>
  <c r="BS12" i="4"/>
  <c r="BS10" i="6" s="1"/>
  <c r="BN12" i="6"/>
  <c r="BR7" i="6"/>
  <c r="BR7" i="4"/>
  <c r="BR17" i="3"/>
  <c r="BQ53" i="4"/>
  <c r="BV51" i="2"/>
  <c r="BW51" i="2"/>
  <c r="BX51" i="2"/>
  <c r="BY51" i="2"/>
  <c r="BZ51" i="2"/>
  <c r="BT9" i="4"/>
  <c r="BT10" i="4"/>
  <c r="BT11" i="2"/>
  <c r="BS13" i="3"/>
  <c r="BS22" i="4" s="1"/>
  <c r="BS23" i="4" s="1"/>
  <c r="BS16" i="3"/>
  <c r="BG33" i="7"/>
  <c r="BG35" i="7" s="1"/>
  <c r="BG37" i="7" s="1"/>
  <c r="BG38" i="7" s="1"/>
  <c r="BH42" i="8"/>
  <c r="BH43" i="8" s="1"/>
  <c r="BQ23" i="6"/>
  <c r="BT52" i="2"/>
  <c r="BH20" i="7"/>
  <c r="BY9" i="7"/>
  <c r="BY20" i="7" s="1"/>
  <c r="BR15" i="6"/>
  <c r="BR30" i="4"/>
  <c r="BL26" i="6"/>
  <c r="BL31" i="6"/>
  <c r="BT18" i="4"/>
  <c r="BT19" i="4" s="1"/>
  <c r="BT6" i="3"/>
  <c r="BS97" i="4"/>
  <c r="BS43" i="4" s="1"/>
  <c r="BI9" i="7"/>
  <c r="BI20" i="7" s="1"/>
  <c r="BJ8" i="7"/>
  <c r="BS26" i="4"/>
  <c r="BS28" i="4" s="1"/>
  <c r="BS29" i="4" s="1"/>
  <c r="BS19" i="6" s="1"/>
  <c r="BS18" i="6" s="1"/>
  <c r="BS20" i="4"/>
  <c r="BO26" i="6"/>
  <c r="BO31" i="6"/>
  <c r="BQ6" i="4"/>
  <c r="BQ9" i="6" s="1"/>
  <c r="BQ11" i="6" s="1"/>
  <c r="BQ12" i="6" s="1"/>
  <c r="BQ13" i="4"/>
  <c r="BM6" i="8"/>
  <c r="BM14" i="8" s="1"/>
  <c r="BM25" i="8" s="1"/>
  <c r="BM41" i="8" s="1"/>
  <c r="BM36" i="6"/>
  <c r="BQ25" i="6" l="1"/>
  <c r="BQ13" i="6"/>
  <c r="BS7" i="6"/>
  <c r="BS7" i="4"/>
  <c r="BS17" i="3"/>
  <c r="BL35" i="6"/>
  <c r="BL32" i="6"/>
  <c r="BT13" i="3"/>
  <c r="BT22" i="4" s="1"/>
  <c r="BT16" i="3"/>
  <c r="BN25" i="6"/>
  <c r="BN13" i="6"/>
  <c r="BT71" i="4"/>
  <c r="BZ71" i="4" s="1"/>
  <c r="BT12" i="4"/>
  <c r="BO35" i="6"/>
  <c r="BO32" i="6"/>
  <c r="BS15" i="6"/>
  <c r="BS30" i="4"/>
  <c r="BR16" i="6"/>
  <c r="BR23" i="6" s="1"/>
  <c r="BR53" i="4"/>
  <c r="BJ9" i="7"/>
  <c r="BJ20" i="7" s="1"/>
  <c r="BK8" i="7"/>
  <c r="BS44" i="4"/>
  <c r="BS16" i="6" s="1"/>
  <c r="BV52" i="2"/>
  <c r="BW52" i="2"/>
  <c r="BX52" i="2"/>
  <c r="BY52" i="2"/>
  <c r="BZ52" i="2"/>
  <c r="BT73" i="4"/>
  <c r="BT72" i="4" s="1"/>
  <c r="BV6" i="3"/>
  <c r="BW6" i="3"/>
  <c r="BX6" i="3"/>
  <c r="BY6" i="3"/>
  <c r="BZ6" i="3"/>
  <c r="BI42" i="8"/>
  <c r="BI43" i="8" s="1"/>
  <c r="BH33" i="7"/>
  <c r="BT20" i="4"/>
  <c r="BT26" i="4"/>
  <c r="BT28" i="4" s="1"/>
  <c r="BR13" i="4"/>
  <c r="BR6" i="4"/>
  <c r="BR9" i="6" s="1"/>
  <c r="BR11" i="6" s="1"/>
  <c r="BR12" i="6" s="1"/>
  <c r="BP26" i="6"/>
  <c r="BP31" i="6"/>
  <c r="BT23" i="4" l="1"/>
  <c r="BT15" i="6" s="1"/>
  <c r="BV22" i="4"/>
  <c r="BW22" i="4"/>
  <c r="BX22" i="4"/>
  <c r="BY22" i="4"/>
  <c r="BZ22" i="4"/>
  <c r="BR25" i="6"/>
  <c r="BR13" i="6"/>
  <c r="BH35" i="7"/>
  <c r="BH37" i="7" s="1"/>
  <c r="BH38" i="7" s="1"/>
  <c r="BY33" i="7"/>
  <c r="BY35" i="7" s="1"/>
  <c r="BY37" i="7" s="1"/>
  <c r="BY38" i="7" s="1"/>
  <c r="BZ72" i="4"/>
  <c r="BT97" i="4"/>
  <c r="BK9" i="7"/>
  <c r="BK20" i="7" s="1"/>
  <c r="BL8" i="7"/>
  <c r="BX13" i="3"/>
  <c r="BV13" i="3"/>
  <c r="BW13" i="3"/>
  <c r="BY13" i="3"/>
  <c r="BZ13" i="3"/>
  <c r="BP35" i="6"/>
  <c r="BP32" i="6"/>
  <c r="BS23" i="6"/>
  <c r="BS6" i="4"/>
  <c r="BS9" i="6" s="1"/>
  <c r="BS11" i="6" s="1"/>
  <c r="BS13" i="4"/>
  <c r="BS12" i="6"/>
  <c r="BQ31" i="6"/>
  <c r="BQ26" i="6"/>
  <c r="BJ42" i="8"/>
  <c r="BJ43" i="8" s="1"/>
  <c r="BI33" i="7"/>
  <c r="BI35" i="7" s="1"/>
  <c r="BI37" i="7" s="1"/>
  <c r="BI38" i="7" s="1"/>
  <c r="BT7" i="6"/>
  <c r="BT7" i="4"/>
  <c r="BT17" i="3"/>
  <c r="D17" i="9" s="1"/>
  <c r="BV16" i="3"/>
  <c r="BW16" i="3"/>
  <c r="BX16" i="3"/>
  <c r="BY16" i="3"/>
  <c r="BZ16" i="3"/>
  <c r="BS53" i="4"/>
  <c r="BN26" i="6"/>
  <c r="BN31" i="6"/>
  <c r="BL6" i="8"/>
  <c r="BL36" i="6"/>
  <c r="BO36" i="6"/>
  <c r="BO6" i="8"/>
  <c r="BO14" i="8" s="1"/>
  <c r="BO25" i="8" s="1"/>
  <c r="BO41" i="8" s="1"/>
  <c r="BT29" i="4"/>
  <c r="BV28" i="4"/>
  <c r="BW28" i="4"/>
  <c r="BX28" i="4"/>
  <c r="BY28" i="4"/>
  <c r="BZ28" i="4"/>
  <c r="BT10" i="6"/>
  <c r="BV12" i="4"/>
  <c r="BW12" i="4"/>
  <c r="BX12" i="4"/>
  <c r="BY12" i="4"/>
  <c r="BZ12" i="4"/>
  <c r="BY15" i="6" l="1"/>
  <c r="BV15" i="6"/>
  <c r="BW15" i="6"/>
  <c r="BX15" i="6"/>
  <c r="BZ15" i="6"/>
  <c r="BL14" i="8"/>
  <c r="BL25" i="8" s="1"/>
  <c r="BL41" i="8" s="1"/>
  <c r="BM8" i="7"/>
  <c r="BL9" i="7"/>
  <c r="BL20" i="7" s="1"/>
  <c r="BV10" i="6"/>
  <c r="CB10" i="6" s="1"/>
  <c r="BW10" i="6"/>
  <c r="CC10" i="6" s="1"/>
  <c r="BX10" i="6"/>
  <c r="CD10" i="6" s="1"/>
  <c r="BY10" i="6"/>
  <c r="CE10" i="6" s="1"/>
  <c r="BZ10" i="6"/>
  <c r="BT30" i="4"/>
  <c r="BQ35" i="6"/>
  <c r="BQ32" i="6"/>
  <c r="BZ97" i="4"/>
  <c r="BT43" i="4"/>
  <c r="BT44" i="4"/>
  <c r="BK42" i="8"/>
  <c r="BK43" i="8" s="1"/>
  <c r="BJ33" i="7"/>
  <c r="BJ35" i="7" s="1"/>
  <c r="BJ37" i="7" s="1"/>
  <c r="BJ38" i="7" s="1"/>
  <c r="BS25" i="6"/>
  <c r="BS13" i="6"/>
  <c r="BR31" i="6"/>
  <c r="BR26" i="6"/>
  <c r="BT19" i="6"/>
  <c r="BV29" i="4"/>
  <c r="BW29" i="4"/>
  <c r="BX29" i="4"/>
  <c r="BY29" i="4"/>
  <c r="BZ29" i="4"/>
  <c r="BN32" i="6"/>
  <c r="BN35" i="6"/>
  <c r="BP6" i="8"/>
  <c r="BP14" i="8" s="1"/>
  <c r="BP25" i="8" s="1"/>
  <c r="BP41" i="8" s="1"/>
  <c r="BP36" i="6"/>
  <c r="BT13" i="4"/>
  <c r="BT6" i="4"/>
  <c r="BV7" i="4"/>
  <c r="BW7" i="4"/>
  <c r="BX7" i="4"/>
  <c r="BY7" i="4"/>
  <c r="BZ7" i="4"/>
  <c r="BY7" i="6"/>
  <c r="BV7" i="6"/>
  <c r="BW7" i="6"/>
  <c r="BX7" i="6"/>
  <c r="BZ7" i="6"/>
  <c r="BT18" i="6" l="1"/>
  <c r="BV19" i="6"/>
  <c r="CB19" i="6" s="1"/>
  <c r="BW19" i="6"/>
  <c r="CC19" i="6" s="1"/>
  <c r="BX19" i="6"/>
  <c r="CD19" i="6" s="1"/>
  <c r="BY19" i="6"/>
  <c r="CE19" i="6" s="1"/>
  <c r="BZ19" i="6"/>
  <c r="CF19" i="6" s="1"/>
  <c r="BR32" i="6"/>
  <c r="BR35" i="6"/>
  <c r="CD15" i="6"/>
  <c r="CF7" i="6"/>
  <c r="CF33" i="6"/>
  <c r="CF28" i="6"/>
  <c r="CF29" i="6"/>
  <c r="CF20" i="6"/>
  <c r="CF17" i="6"/>
  <c r="CF21" i="6"/>
  <c r="CF22" i="6"/>
  <c r="CC15" i="6"/>
  <c r="BT9" i="6"/>
  <c r="BV6" i="4"/>
  <c r="BW6" i="4"/>
  <c r="BX6" i="4"/>
  <c r="BY6" i="4"/>
  <c r="BZ6" i="4"/>
  <c r="CC7" i="6"/>
  <c r="CC24" i="6"/>
  <c r="CC33" i="6"/>
  <c r="CC29" i="6"/>
  <c r="CC28" i="6"/>
  <c r="CC20" i="6"/>
  <c r="CC21" i="6"/>
  <c r="CC17" i="6"/>
  <c r="CC22" i="6"/>
  <c r="BQ6" i="8"/>
  <c r="BQ14" i="8" s="1"/>
  <c r="BQ25" i="8" s="1"/>
  <c r="BQ41" i="8" s="1"/>
  <c r="BQ36" i="6"/>
  <c r="CB15" i="6"/>
  <c r="BL42" i="8"/>
  <c r="BL43" i="8" s="1"/>
  <c r="BK33" i="7"/>
  <c r="BK35" i="7" s="1"/>
  <c r="BK37" i="7" s="1"/>
  <c r="BK38" i="7" s="1"/>
  <c r="BT16" i="6"/>
  <c r="BT53" i="4"/>
  <c r="BV43" i="4"/>
  <c r="BW43" i="4"/>
  <c r="BX43" i="4"/>
  <c r="BY43" i="4"/>
  <c r="BZ43" i="4"/>
  <c r="CE15" i="6"/>
  <c r="BV13" i="4"/>
  <c r="BW13" i="4"/>
  <c r="BX13" i="4"/>
  <c r="BY13" i="4"/>
  <c r="BZ13" i="4"/>
  <c r="BS26" i="6"/>
  <c r="BS31" i="6"/>
  <c r="BM9" i="7"/>
  <c r="BM20" i="7" s="1"/>
  <c r="BN8" i="7"/>
  <c r="CD7" i="6"/>
  <c r="CD33" i="6"/>
  <c r="CD28" i="6"/>
  <c r="CD29" i="6"/>
  <c r="CD21" i="6"/>
  <c r="CD20" i="6"/>
  <c r="CD17" i="6"/>
  <c r="CD22" i="6"/>
  <c r="BN36" i="6"/>
  <c r="BN6" i="8"/>
  <c r="BV44" i="4"/>
  <c r="BW44" i="4"/>
  <c r="BX44" i="4"/>
  <c r="BY44" i="4"/>
  <c r="BZ44" i="4"/>
  <c r="CF15" i="6"/>
  <c r="BV12" i="6"/>
  <c r="CB24" i="6"/>
  <c r="CB7" i="6"/>
  <c r="CB28" i="6"/>
  <c r="CB33" i="6"/>
  <c r="CB29" i="6"/>
  <c r="CB11" i="6"/>
  <c r="CB20" i="6"/>
  <c r="CB17" i="6"/>
  <c r="CB21" i="6"/>
  <c r="CB22" i="6"/>
  <c r="CE7" i="6"/>
  <c r="CE33" i="6"/>
  <c r="CE28" i="6"/>
  <c r="CE29" i="6"/>
  <c r="CE21" i="6"/>
  <c r="CE20" i="6"/>
  <c r="CE17" i="6"/>
  <c r="CE22" i="6"/>
  <c r="BV30" i="4"/>
  <c r="BW30" i="4"/>
  <c r="BX30" i="4"/>
  <c r="BY30" i="4"/>
  <c r="BZ30" i="4"/>
  <c r="CF10" i="6"/>
  <c r="BL33" i="7" l="1"/>
  <c r="BL35" i="7" s="1"/>
  <c r="BL37" i="7" s="1"/>
  <c r="BL38" i="7" s="1"/>
  <c r="BM42" i="8"/>
  <c r="BM43" i="8" s="1"/>
  <c r="BV53" i="4"/>
  <c r="BW53" i="4"/>
  <c r="BX53" i="4"/>
  <c r="BY53" i="4"/>
  <c r="BZ53" i="4"/>
  <c r="BS35" i="6"/>
  <c r="BS32" i="6"/>
  <c r="BN14" i="8"/>
  <c r="BN25" i="8" s="1"/>
  <c r="BN41" i="8" s="1"/>
  <c r="BR6" i="8"/>
  <c r="BR14" i="8" s="1"/>
  <c r="BR25" i="8" s="1"/>
  <c r="BR41" i="8" s="1"/>
  <c r="BR36" i="6"/>
  <c r="BV16" i="6"/>
  <c r="CB16" i="6" s="1"/>
  <c r="BW16" i="6"/>
  <c r="CC16" i="6" s="1"/>
  <c r="BX16" i="6"/>
  <c r="CD16" i="6" s="1"/>
  <c r="BY16" i="6"/>
  <c r="CE16" i="6" s="1"/>
  <c r="BZ16" i="6"/>
  <c r="CF16" i="6" s="1"/>
  <c r="BT23" i="6"/>
  <c r="BT11" i="6"/>
  <c r="BV9" i="6"/>
  <c r="CB9" i="6" s="1"/>
  <c r="BW9" i="6"/>
  <c r="CC9" i="6" s="1"/>
  <c r="BX9" i="6"/>
  <c r="CD9" i="6" s="1"/>
  <c r="BY9" i="6"/>
  <c r="CE9" i="6" s="1"/>
  <c r="BZ9" i="6"/>
  <c r="CF9" i="6" s="1"/>
  <c r="BV13" i="6"/>
  <c r="CB12" i="6"/>
  <c r="BO8" i="7"/>
  <c r="BN9" i="7"/>
  <c r="BN20" i="7" s="1"/>
  <c r="BY18" i="6"/>
  <c r="CE18" i="6" s="1"/>
  <c r="BV18" i="6"/>
  <c r="CB18" i="6" s="1"/>
  <c r="BW18" i="6"/>
  <c r="CC18" i="6" s="1"/>
  <c r="BX18" i="6"/>
  <c r="CD18" i="6" s="1"/>
  <c r="BZ18" i="6"/>
  <c r="CF18" i="6" s="1"/>
  <c r="BS6" i="8" l="1"/>
  <c r="BS14" i="8" s="1"/>
  <c r="BS25" i="8" s="1"/>
  <c r="BS41" i="8" s="1"/>
  <c r="BS36" i="6"/>
  <c r="BP8" i="7"/>
  <c r="BO9" i="7"/>
  <c r="BO20" i="7" s="1"/>
  <c r="BW11" i="6"/>
  <c r="BX11" i="6"/>
  <c r="BY11" i="6"/>
  <c r="BZ11" i="6"/>
  <c r="BT12" i="6"/>
  <c r="BV23" i="6"/>
  <c r="BW23" i="6"/>
  <c r="CC23" i="6" s="1"/>
  <c r="BX23" i="6"/>
  <c r="CD23" i="6" s="1"/>
  <c r="BY23" i="6"/>
  <c r="CE23" i="6" s="1"/>
  <c r="BZ23" i="6"/>
  <c r="CF23" i="6" s="1"/>
  <c r="BN42" i="8"/>
  <c r="BN43" i="8" s="1"/>
  <c r="BM33" i="7"/>
  <c r="BM35" i="7" s="1"/>
  <c r="BM37" i="7" s="1"/>
  <c r="BM38" i="7" s="1"/>
  <c r="CE11" i="6" l="1"/>
  <c r="BY12" i="6"/>
  <c r="CD11" i="6"/>
  <c r="BX12" i="6"/>
  <c r="CC11" i="6"/>
  <c r="BW12" i="6"/>
  <c r="CF11" i="6"/>
  <c r="BZ12" i="6"/>
  <c r="CB23" i="6"/>
  <c r="BV25" i="6"/>
  <c r="BT25" i="6"/>
  <c r="BT13" i="6"/>
  <c r="BP9" i="7"/>
  <c r="BP20" i="7" s="1"/>
  <c r="BQ8" i="7"/>
  <c r="BO42" i="8"/>
  <c r="BO43" i="8" s="1"/>
  <c r="BN33" i="7"/>
  <c r="BN35" i="7" s="1"/>
  <c r="BN37" i="7" s="1"/>
  <c r="BN38" i="7" s="1"/>
  <c r="BP42" i="8" l="1"/>
  <c r="BP43" i="8" s="1"/>
  <c r="BO33" i="7"/>
  <c r="BO35" i="7" s="1"/>
  <c r="BO37" i="7" s="1"/>
  <c r="BO38" i="7" s="1"/>
  <c r="BR8" i="7"/>
  <c r="BQ9" i="7"/>
  <c r="BQ20" i="7" s="1"/>
  <c r="BT31" i="6"/>
  <c r="BT26" i="6"/>
  <c r="BV26" i="6"/>
  <c r="BV31" i="6"/>
  <c r="CB25" i="6"/>
  <c r="BZ25" i="6"/>
  <c r="BZ13" i="6"/>
  <c r="CF12" i="6"/>
  <c r="BW25" i="6"/>
  <c r="BW13" i="6"/>
  <c r="CC12" i="6"/>
  <c r="BX13" i="6"/>
  <c r="BX25" i="6"/>
  <c r="CD12" i="6"/>
  <c r="BY13" i="6"/>
  <c r="CE12" i="6"/>
  <c r="BY25" i="6"/>
  <c r="CB31" i="6" l="1"/>
  <c r="BV32" i="6"/>
  <c r="BV35" i="6"/>
  <c r="BQ42" i="8"/>
  <c r="BQ43" i="8" s="1"/>
  <c r="BP33" i="7"/>
  <c r="BP35" i="7" s="1"/>
  <c r="BP37" i="7" s="1"/>
  <c r="BP38" i="7" s="1"/>
  <c r="BW26" i="6"/>
  <c r="BW31" i="6"/>
  <c r="CC25" i="6"/>
  <c r="BZ26" i="6"/>
  <c r="BZ31" i="6"/>
  <c r="CF25" i="6"/>
  <c r="BY31" i="6"/>
  <c r="BY26" i="6"/>
  <c r="CE25" i="6"/>
  <c r="BT32" i="6"/>
  <c r="BT35" i="6"/>
  <c r="BX31" i="6"/>
  <c r="BX26" i="6"/>
  <c r="CD25" i="6"/>
  <c r="BS8" i="7"/>
  <c r="BR9" i="7"/>
  <c r="BR20" i="7" s="1"/>
  <c r="BY32" i="6" l="1"/>
  <c r="BY35" i="6"/>
  <c r="CE31" i="6"/>
  <c r="BZ32" i="6"/>
  <c r="CF31" i="6"/>
  <c r="BZ35" i="6"/>
  <c r="BW32" i="6"/>
  <c r="CC31" i="6"/>
  <c r="BW35" i="6"/>
  <c r="BT6" i="8"/>
  <c r="BT36" i="6"/>
  <c r="BS9" i="7"/>
  <c r="BS20" i="7" s="1"/>
  <c r="BT8" i="7"/>
  <c r="BR42" i="8"/>
  <c r="BR43" i="8" s="1"/>
  <c r="BQ33" i="7"/>
  <c r="BQ35" i="7" s="1"/>
  <c r="BQ37" i="7" s="1"/>
  <c r="BQ38" i="7" s="1"/>
  <c r="CD31" i="6"/>
  <c r="BX35" i="6"/>
  <c r="BX32" i="6"/>
  <c r="BV36" i="6"/>
  <c r="CB35" i="6"/>
  <c r="BR33" i="7" l="1"/>
  <c r="BR35" i="7" s="1"/>
  <c r="BR37" i="7" s="1"/>
  <c r="BR38" i="7" s="1"/>
  <c r="BS42" i="8"/>
  <c r="BS43" i="8" s="1"/>
  <c r="BT9" i="7"/>
  <c r="BZ8" i="7"/>
  <c r="BT14" i="8"/>
  <c r="BT25" i="8" s="1"/>
  <c r="BT41" i="8" s="1"/>
  <c r="BW6" i="8"/>
  <c r="BW14" i="8" s="1"/>
  <c r="BW25" i="8" s="1"/>
  <c r="BW41" i="8" s="1"/>
  <c r="BW43" i="8" s="1"/>
  <c r="BX42" i="8" s="1"/>
  <c r="BX43" i="8" s="1"/>
  <c r="BY42" i="8" s="1"/>
  <c r="BY43" i="8" s="1"/>
  <c r="BZ42" i="8" s="1"/>
  <c r="BY6" i="8"/>
  <c r="BY14" i="8" s="1"/>
  <c r="BY25" i="8" s="1"/>
  <c r="BY41" i="8" s="1"/>
  <c r="BZ6" i="8"/>
  <c r="BZ14" i="8" s="1"/>
  <c r="BZ25" i="8" s="1"/>
  <c r="BZ41" i="8" s="1"/>
  <c r="CC35" i="6"/>
  <c r="BW36" i="6"/>
  <c r="CF35" i="6"/>
  <c r="BZ36" i="6"/>
  <c r="CD35" i="6"/>
  <c r="BX36" i="6"/>
  <c r="CE35" i="6"/>
  <c r="BY36" i="6"/>
  <c r="BZ43" i="8" l="1"/>
  <c r="BT20" i="7"/>
  <c r="BZ9" i="7"/>
  <c r="BZ20" i="7" s="1"/>
  <c r="BS33" i="7"/>
  <c r="BS35" i="7" s="1"/>
  <c r="BS37" i="7" s="1"/>
  <c r="BS38" i="7" s="1"/>
  <c r="BT42" i="8"/>
  <c r="BT43" i="8" s="1"/>
  <c r="BT33" i="7" s="1"/>
  <c r="BT35" i="7" l="1"/>
  <c r="BT37" i="7" s="1"/>
  <c r="BT38" i="7" s="1"/>
  <c r="BZ33" i="7"/>
  <c r="BZ35" i="7" s="1"/>
  <c r="BZ37" i="7" s="1"/>
  <c r="BZ38" i="7" s="1"/>
</calcChain>
</file>

<file path=xl/comments1.xml><?xml version="1.0" encoding="utf-8"?>
<comments xmlns="http://schemas.openxmlformats.org/spreadsheetml/2006/main">
  <authors>
    <author>Unknown Author</author>
  </authors>
  <commentList>
    <comment ref="F2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Number of account (Clients), one customer support can manage.</t>
        </r>
      </text>
    </comment>
    <comment ref="A43" authorId="0" shapeId="0">
      <text>
        <r>
          <rPr>
            <sz val="10"/>
            <rFont val="Arial"/>
            <family val="2"/>
          </rPr>
          <t>Abhinav:
No marketing team on payroll</t>
        </r>
      </text>
    </comment>
  </commentList>
</comments>
</file>

<file path=xl/sharedStrings.xml><?xml version="1.0" encoding="utf-8"?>
<sst xmlns="http://schemas.openxmlformats.org/spreadsheetml/2006/main" count="480" uniqueCount="299">
  <si>
    <t>Financial Model — 5-Year Projections and Valuation</t>
  </si>
  <si>
    <t>Prepared for [Client Name]</t>
  </si>
  <si>
    <t>Prepared by</t>
  </si>
  <si>
    <t>Version / Date</t>
  </si>
  <si>
    <t>Currency / Units</t>
  </si>
  <si>
    <t>Dhananjay Anil Raut</t>
  </si>
  <si>
    <t>v1.0 — July 2026</t>
  </si>
  <si>
    <t>AED — Monthly build, yearly summary</t>
  </si>
  <si>
    <t>Color Legend</t>
  </si>
  <si>
    <t>123</t>
  </si>
  <si>
    <t>Input cell — safe to change (gray-blue fill, navy bold font)</t>
  </si>
  <si>
    <t>Formula cell — do not edit (white, black font)</t>
  </si>
  <si>
    <t>Cross-sheet link (green font)</t>
  </si>
  <si>
    <t>-1</t>
  </si>
  <si>
    <t>Error / check flag (red — investigate immediately)</t>
  </si>
  <si>
    <t>Workbook Tabs</t>
  </si>
  <si>
    <t>Assumptions  →  Revenue Buildup  →  Cost Buildup  →  FAS  →  IS  →  BS  →  CFS  →  Valuation</t>
  </si>
  <si>
    <t>Disclaimer: These are estimates provided to the best of our knowledge based on logical assumptions and current market conditions; actual results may vary materially.</t>
  </si>
  <si>
    <t>Assumptions</t>
  </si>
  <si>
    <t>Cells in Orange are assumptions</t>
  </si>
  <si>
    <t>MONTHLY</t>
  </si>
  <si>
    <t>YEARLY</t>
  </si>
  <si>
    <t>Year</t>
  </si>
  <si>
    <t>Months</t>
  </si>
  <si>
    <t>General Assumptions</t>
  </si>
  <si>
    <t>Base Currency</t>
  </si>
  <si>
    <t>USD</t>
  </si>
  <si>
    <t>INR:USD</t>
  </si>
  <si>
    <t>as on 25/05/25</t>
  </si>
  <si>
    <t>Revenue Assumptions</t>
  </si>
  <si>
    <t>Existing Clients</t>
  </si>
  <si>
    <t>New Clients</t>
  </si>
  <si>
    <t>Annual SaaS Subscription Price (Median Price)</t>
  </si>
  <si>
    <t>Duration of Contract</t>
  </si>
  <si>
    <t>Churn &amp; Expansion Revenue</t>
  </si>
  <si>
    <t>Annual Churn Rate</t>
  </si>
  <si>
    <t>%</t>
  </si>
  <si>
    <t>Recurring Contracts</t>
  </si>
  <si>
    <t>Cost Assumptions</t>
  </si>
  <si>
    <t>Direct Cost</t>
  </si>
  <si>
    <t>Hosting &amp; Infrastructure Costs</t>
  </si>
  <si>
    <t>as % of revenue</t>
  </si>
  <si>
    <t>Third-Party Software &amp; API Costs</t>
  </si>
  <si>
    <t>Payment gateway/ Bank Charges</t>
  </si>
  <si>
    <t>as a % of bookings</t>
  </si>
  <si>
    <t>Headcount</t>
  </si>
  <si>
    <t>Customer Support</t>
  </si>
  <si>
    <t>Customer support/Account</t>
  </si>
  <si>
    <t>Monthly Salary</t>
  </si>
  <si>
    <t>Annual Increment</t>
  </si>
  <si>
    <t>Operating Expense</t>
  </si>
  <si>
    <t>Sales &amp; Marketing Expense</t>
  </si>
  <si>
    <t>Sales</t>
  </si>
  <si>
    <t>Sales-SDR-Outsourced</t>
  </si>
  <si>
    <t>Monthly expense</t>
  </si>
  <si>
    <t>Cost/Lead</t>
  </si>
  <si>
    <t>300-300$/qualified lead</t>
  </si>
  <si>
    <t>Additional Cost for Qualified Leads</t>
  </si>
  <si>
    <t>Sales Commission %</t>
  </si>
  <si>
    <t>New Bookings</t>
  </si>
  <si>
    <t>as a % respective bookings</t>
  </si>
  <si>
    <t>Renewals</t>
  </si>
  <si>
    <t xml:space="preserve">Expansion </t>
  </si>
  <si>
    <t>Sales Team-Headcount</t>
  </si>
  <si>
    <t>Client Success Manager</t>
  </si>
  <si>
    <t>Qualified Leads/CSM/Month</t>
  </si>
  <si>
    <t>XYZ(For any additional role)</t>
  </si>
  <si>
    <t>Sales Team Salaries</t>
  </si>
  <si>
    <t>Monthly Salary/Headcount</t>
  </si>
  <si>
    <t>Marketing</t>
  </si>
  <si>
    <t>Year 1</t>
  </si>
  <si>
    <t>Year 2</t>
  </si>
  <si>
    <t>Year 3</t>
  </si>
  <si>
    <t>Year 4</t>
  </si>
  <si>
    <t>Year 5</t>
  </si>
  <si>
    <t>Marketing Budget</t>
  </si>
  <si>
    <t xml:space="preserve">Marketing Team Roles &amp; Headcount </t>
  </si>
  <si>
    <t>ABC</t>
  </si>
  <si>
    <t>G&amp;A</t>
  </si>
  <si>
    <t>Office Rent</t>
  </si>
  <si>
    <t>Chair/Employee/Monthly</t>
  </si>
  <si>
    <t>Utilities</t>
  </si>
  <si>
    <t>Emp/Monthly</t>
  </si>
  <si>
    <t>Advisory</t>
  </si>
  <si>
    <t>Monthly  Expense</t>
  </si>
  <si>
    <t>G&amp;A Team Roles &amp; Headcount</t>
  </si>
  <si>
    <t>Account &amp; Finance</t>
  </si>
  <si>
    <t>Legal</t>
  </si>
  <si>
    <t>HR</t>
  </si>
  <si>
    <t xml:space="preserve"> </t>
  </si>
  <si>
    <t xml:space="preserve">Management-Co-Found </t>
  </si>
  <si>
    <t>Product Development Expense</t>
  </si>
  <si>
    <t xml:space="preserve">Infrastructure </t>
  </si>
  <si>
    <t>Product Development Team Roles &amp; Headcount</t>
  </si>
  <si>
    <t>Project Manager</t>
  </si>
  <si>
    <t>UI,UX Designer</t>
  </si>
  <si>
    <t xml:space="preserve">Sr. Software </t>
  </si>
  <si>
    <t>Solution Architect</t>
  </si>
  <si>
    <t>Test Er</t>
  </si>
  <si>
    <t>Jr. Test Er</t>
  </si>
  <si>
    <t>Infra Er</t>
  </si>
  <si>
    <t>Jr. Infra Er</t>
  </si>
  <si>
    <t>Frontend Developer</t>
  </si>
  <si>
    <t>Backend Developer</t>
  </si>
  <si>
    <t>Revenue Buildup</t>
  </si>
  <si>
    <t>SpoviX</t>
  </si>
  <si>
    <t>Qualified  Leads</t>
  </si>
  <si>
    <t>Active Customers</t>
  </si>
  <si>
    <t>Churned</t>
  </si>
  <si>
    <t>Total Clients</t>
  </si>
  <si>
    <t>Bookings</t>
  </si>
  <si>
    <t>Revenue</t>
  </si>
  <si>
    <t>Revenue (MRR)</t>
  </si>
  <si>
    <t>ARR</t>
  </si>
  <si>
    <t>Cost Buildup</t>
  </si>
  <si>
    <t>Base</t>
  </si>
  <si>
    <t>Customer Support Team Salary</t>
  </si>
  <si>
    <t>Total Direct Cost</t>
  </si>
  <si>
    <t>Qualified Leads</t>
  </si>
  <si>
    <t>Total Commissions</t>
  </si>
  <si>
    <t>Total Sales Salary</t>
  </si>
  <si>
    <t>Total Sales Expenses</t>
  </si>
  <si>
    <t>Total Marketing Salary</t>
  </si>
  <si>
    <t>Total Marketing Expense</t>
  </si>
  <si>
    <t>Total G&amp;A Salary</t>
  </si>
  <si>
    <t>Total G&amp;A Expense</t>
  </si>
  <si>
    <t>Total Product Development Salary</t>
  </si>
  <si>
    <t>Total Product Development Expense</t>
  </si>
  <si>
    <t>Employees Benefit Expense</t>
  </si>
  <si>
    <t>Head Count</t>
  </si>
  <si>
    <t>Product Development</t>
  </si>
  <si>
    <t>Total Headcount</t>
  </si>
  <si>
    <t>Fixed Asset Schedule</t>
  </si>
  <si>
    <t>Income Statement</t>
  </si>
  <si>
    <t>Common Size Statement</t>
  </si>
  <si>
    <t>Revenues</t>
  </si>
  <si>
    <t>Active Clients</t>
  </si>
  <si>
    <t>[+]</t>
  </si>
  <si>
    <t>Direct Expenses</t>
  </si>
  <si>
    <t>[-]</t>
  </si>
  <si>
    <t>COGS</t>
  </si>
  <si>
    <t>Gross Profit</t>
  </si>
  <si>
    <t>Gross Profit %</t>
  </si>
  <si>
    <t>Operating Expenses</t>
  </si>
  <si>
    <t>Sales &amp; Marketing</t>
  </si>
  <si>
    <t>Product Development (Infra)</t>
  </si>
  <si>
    <t xml:space="preserve">Sales </t>
  </si>
  <si>
    <t>Total Operating Expense</t>
  </si>
  <si>
    <t>EBITDA</t>
  </si>
  <si>
    <t>EBITDA%</t>
  </si>
  <si>
    <t>Depreciation and Amortization</t>
  </si>
  <si>
    <t>Interest Expense</t>
  </si>
  <si>
    <t>EBT</t>
  </si>
  <si>
    <t>EBT %</t>
  </si>
  <si>
    <t>Tax Expense</t>
  </si>
  <si>
    <t>EAT</t>
  </si>
  <si>
    <t>EAT%</t>
  </si>
  <si>
    <t>Treatment of  Tax</t>
  </si>
  <si>
    <t>Taxable Income</t>
  </si>
  <si>
    <t>Cumulative Taxable Income</t>
  </si>
  <si>
    <t>Balance Sheet</t>
  </si>
  <si>
    <t>I. Equity &amp; Liabilities</t>
  </si>
  <si>
    <t>Shareholders' Fund</t>
  </si>
  <si>
    <t>Share Capital</t>
  </si>
  <si>
    <t>Reserves &amp; Surplus</t>
  </si>
  <si>
    <t>TOTAL Shareholders Funds</t>
  </si>
  <si>
    <t>Liabilities</t>
  </si>
  <si>
    <t>Non-current liabilities</t>
  </si>
  <si>
    <t>Long-term borrowings</t>
  </si>
  <si>
    <t>Current Liabilities</t>
  </si>
  <si>
    <t>Deferred Revenue</t>
  </si>
  <si>
    <t>Trade Payables</t>
  </si>
  <si>
    <t>Other current liabilities</t>
  </si>
  <si>
    <t>TOTAL Liabilities</t>
  </si>
  <si>
    <t>TOTAL  Equity and Liabilities</t>
  </si>
  <si>
    <t>II. Assets</t>
  </si>
  <si>
    <t>Non-Current Assets</t>
  </si>
  <si>
    <t>Fixed Assets</t>
  </si>
  <si>
    <t>Tangible assets</t>
  </si>
  <si>
    <t>Intangible assets</t>
  </si>
  <si>
    <t>Other Non Current Asset</t>
  </si>
  <si>
    <t>Total Non Current Assets</t>
  </si>
  <si>
    <t>Current Assets</t>
  </si>
  <si>
    <t>Trade Receivables</t>
  </si>
  <si>
    <t>Inventory</t>
  </si>
  <si>
    <t>Cash and Cash Equivalents</t>
  </si>
  <si>
    <t>Short Term Loans and Advances</t>
  </si>
  <si>
    <t>Total Current Assets</t>
  </si>
  <si>
    <t>Total Assets</t>
  </si>
  <si>
    <t>Check</t>
  </si>
  <si>
    <t>Cash Flow Statement</t>
  </si>
  <si>
    <t>Cash Flow from Operations-</t>
  </si>
  <si>
    <t>Profit After Tax</t>
  </si>
  <si>
    <t>Depreciation and Amortization Expenses</t>
  </si>
  <si>
    <t>Interest Expenses</t>
  </si>
  <si>
    <t>Preliminary Expenses written off</t>
  </si>
  <si>
    <t>Interest Received</t>
  </si>
  <si>
    <t>Loss/Profit on Sale of Assets</t>
  </si>
  <si>
    <t>Liabilities written off</t>
  </si>
  <si>
    <t>Operating Profit before Working Capital Changes</t>
  </si>
  <si>
    <t>Changes in working Capital</t>
  </si>
  <si>
    <t>Inventories</t>
  </si>
  <si>
    <t>Other Current Assets</t>
  </si>
  <si>
    <t>Other Current Liabilities</t>
  </si>
  <si>
    <t>Change in Cash Flow from Operations</t>
  </si>
  <si>
    <t>Cash Flow from Investing Activities-</t>
  </si>
  <si>
    <t>Purchase/sale of Non current Assets</t>
  </si>
  <si>
    <t>Purchase/sale of Other Non Current Asset</t>
  </si>
  <si>
    <t>Changes in Cash Flow from Investing</t>
  </si>
  <si>
    <t>Cash Flow from Financing Activities-</t>
  </si>
  <si>
    <t>Increase/Decrease in Share Capital</t>
  </si>
  <si>
    <t>Premium Collected on issue of Shares</t>
  </si>
  <si>
    <t>Increase/Decrease in Long Term Borrowings</t>
  </si>
  <si>
    <t>Increase/Decrease in Other Short Term Borrowings</t>
  </si>
  <si>
    <t>Changes in Cash Flow from Financing</t>
  </si>
  <si>
    <t>Net Changes in Cash &amp; Cash Equivalents</t>
  </si>
  <si>
    <t>Cash Opening balance</t>
  </si>
  <si>
    <t>Cash Closing Balance</t>
  </si>
  <si>
    <t>Cash Burn 12 M</t>
  </si>
  <si>
    <t>VANTLOGIX TECHNOLOGIES PRIVATE LIMITED - Venture Capital Method Valuation</t>
  </si>
  <si>
    <t>Precedent Transaction Analysis</t>
  </si>
  <si>
    <t>https://pages.stern.nyu.edu/~adamodar/New_Home_Page/datafile/psdata.html</t>
  </si>
  <si>
    <t>EV/Revenue Multiple</t>
  </si>
  <si>
    <t>Industry Median</t>
  </si>
  <si>
    <t>(In $ Mn)</t>
  </si>
  <si>
    <t>ARR (60th Month)</t>
  </si>
  <si>
    <t>EV</t>
  </si>
  <si>
    <t>Discount Rate</t>
  </si>
  <si>
    <t>Post Money Valuation</t>
  </si>
  <si>
    <t>Total Investment</t>
  </si>
  <si>
    <t>Pre Money Valuation</t>
  </si>
  <si>
    <t>Funding Round Stake sale</t>
  </si>
  <si>
    <t>Sensitivity Analysis</t>
  </si>
  <si>
    <t>Multiple</t>
  </si>
  <si>
    <t>Funding Round Stake Sale</t>
  </si>
  <si>
    <t>Direct Costs (COGS) for a B2B SaaS Business</t>
  </si>
  <si>
    <t>COGS includes all direct costs required to deliver the software service. These typically include:</t>
  </si>
  <si>
    <t>Cloud services (AWS, Google Cloud, Azure)</t>
  </si>
  <si>
    <t>Database and storage (e.g., Amazon RDS, MongoDB Atlas)</t>
  </si>
  <si>
    <t>Content delivery networks (CDN)</t>
  </si>
  <si>
    <t>Load balancers and networking costs</t>
  </si>
  <si>
    <t>Payment gateway fees (e.g., Stripe, Razorpay)</t>
  </si>
  <si>
    <t>AI/ML APIs (e.g., OpenAI, Google Cloud APIs)</t>
  </si>
  <si>
    <t>Email/SMS services (e.g., SendGrid, Twilio)</t>
  </si>
  <si>
    <t>Security services (e.g., Cloudflare, Auth0)</t>
  </si>
  <si>
    <t>Customer Support &amp; Service Costs</t>
  </si>
  <si>
    <t>Direct salaries of support teams</t>
  </si>
  <si>
    <t>Chatbot and ticketing systems (e.g., Zendesk, Intercom)</t>
  </si>
  <si>
    <t>DevOps &amp; Monitoring</t>
  </si>
  <si>
    <t>Application monitoring (e.g., Datadog, New Relic)</t>
  </si>
  <si>
    <t>Logging services (e.g., Splunk, ELK Stack)</t>
  </si>
  <si>
    <t>Data &amp; Backup Costs</t>
  </si>
  <si>
    <t>Data storage (e.g., Amazon S3, Google Cloud Storage)</t>
  </si>
  <si>
    <t>Backup &amp; disaster recovery solutions</t>
  </si>
  <si>
    <t>License &amp; Compliance Costs</t>
  </si>
  <si>
    <t>Compliance-related expenses (e.g., GDPR, ISO 27001 audits)</t>
  </si>
  <si>
    <t>Software licenses for development tools used in maintaining the SaaS product</t>
  </si>
  <si>
    <t>1. Marketing Team Structure &amp; Roles</t>
  </si>
  <si>
    <t>Role</t>
  </si>
  <si>
    <t>Responsibilities</t>
  </si>
  <si>
    <t>Headcount (Early, Growth, Scale)</t>
  </si>
  <si>
    <t>Chief Marketing Officer</t>
  </si>
  <si>
    <t>Owns marketing strategy, brand positioning &amp; demand generation.</t>
  </si>
  <si>
    <t>1 (Growth)</t>
  </si>
  <si>
    <t>Content Marketing Manager</t>
  </si>
  <si>
    <t>Creates blogs, case studies, whitepapers, and e-books.</t>
  </si>
  <si>
    <t>1 (Early) → 3+ (Scale)</t>
  </si>
  <si>
    <t>SEO &amp; Organic Growth Specialist</t>
  </si>
  <si>
    <t>Handles website traffic, keyword ranking &amp; link-building.</t>
  </si>
  <si>
    <t>1 (Growth) → 2+ (Scale)</t>
  </si>
  <si>
    <t>Performance Marketing Manager (PPC)</t>
  </si>
  <si>
    <t>Runs Google Ads, LinkedIn Ads &amp; paid acquisition campaigns.</t>
  </si>
  <si>
    <t>1 (Growth) → 3+ (Scale)</t>
  </si>
  <si>
    <t>Marketing Automation Specialist</t>
  </si>
  <si>
    <t>Manages email campaigns, drip sequences &amp; CRM workflows.</t>
  </si>
  <si>
    <t>Social Media &amp; Community Manager</t>
  </si>
  <si>
    <t>Builds brand presence on LinkedIn, Twitter &amp; Slack communities.</t>
  </si>
  <si>
    <t>1 (Early) → 2+ (Scale)</t>
  </si>
  <si>
    <t>PR &amp; Media Relations Manager</t>
  </si>
  <si>
    <t>Handles press releases, thought leadership &amp; industry outreach.</t>
  </si>
  <si>
    <t>Event &amp; Webinar Marketing Manager</t>
  </si>
  <si>
    <t>Plans conferences, virtual events, and speaking engagements.</t>
  </si>
  <si>
    <t>Video Content Creator</t>
  </si>
  <si>
    <t>Produces product demos, testimonials &amp; video ads.</t>
  </si>
  <si>
    <t>Partner &amp; Affiliate Marketing Manager</t>
  </si>
  <si>
    <t>Develops strategic alliances &amp; referral programs.</t>
  </si>
  <si>
    <t>Head of Marketing (1)</t>
  </si>
  <si>
    <t>✔ Growth Team (2) → Growth Marketing Manager, SEO/Automation Specialist</t>
  </si>
  <si>
    <t>✔ Brand &amp; Community (2) → PR Manager, Social Media Manager</t>
  </si>
  <si>
    <t>✔ Content &amp; Creative (2) → Content Manager, Video Designer</t>
  </si>
  <si>
    <t>Industry Name</t>
  </si>
  <si>
    <t>Number of firms</t>
  </si>
  <si>
    <t>Price/Sales</t>
  </si>
  <si>
    <t>Net Margin</t>
  </si>
  <si>
    <t>EV/Sales</t>
  </si>
  <si>
    <t>Pre-tax Operating Margin</t>
  </si>
  <si>
    <t>Software (Entertainment)</t>
  </si>
  <si>
    <t>Software (Internet)</t>
  </si>
  <si>
    <t>Software (System &amp; Application)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</si>
</sst>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&quot;YEAR  &quot;0"/>
    <numFmt numFmtId="165" formatCode="&quot;Month  &quot;0"/>
    <numFmt numFmtId="166" formatCode="_(* #,##0.00_);_(* \(#,##0.00\);_(* \-??_);_(@_)"/>
    <numFmt numFmtId="167" formatCode="_(* #,##0.0_);_(* \(#,##0.0\);_(* \-??_);_(@_)"/>
    <numFmt numFmtId="168" formatCode="_(* #,##0_);_(* \(#,##0\);_(* \-??_);_(@_)"/>
    <numFmt numFmtId="169" formatCode="0.0%"/>
    <numFmt numFmtId="170" formatCode="_(* #,##0.0000_);_(* \(#,##0.0000\);_(* \-??_);_(@_)"/>
    <numFmt numFmtId="171" formatCode="_(* #,##0.0_);_(* \(#,##0.0\);_(* \-?_);_(@_)"/>
    <numFmt numFmtId="172" formatCode="0.0"/>
    <numFmt numFmtId="173" formatCode="_(* #,##0_);_(* \(#,##0\);_(* \-?_);_(@_)"/>
    <numFmt numFmtId="174" formatCode="&quot;Year &quot;0"/>
    <numFmt numFmtId="175" formatCode="_ * #,##0_ ;_ * \-#,##0_ ;_ * \-??_ ;_ @_ "/>
    <numFmt numFmtId="176" formatCode="0.0\x"/>
    <numFmt numFmtId="177" formatCode="_(* #,##0.000_);_(* \(#,##0.000\);_(* \-??_);_(@_)"/>
  </numFmts>
  <fonts count="75">
    <font>
      <sz val="12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color theme="1"/>
      <name val="Aptos Narrow"/>
      <family val="2"/>
      <charset val="1"/>
    </font>
    <font>
      <b/>
      <sz val="19"/>
      <color rgb="FFFFFFFF"/>
      <name val="Calibri"/>
      <charset val="1"/>
    </font>
    <font>
      <sz val="12"/>
      <color rgb="FFC9A227"/>
      <name val="Calibri"/>
      <charset val="1"/>
    </font>
    <font>
      <sz val="9"/>
      <color rgb="FF888888"/>
      <name val="Calibri"/>
      <charset val="1"/>
    </font>
    <font>
      <b/>
      <sz val="11"/>
      <color rgb="FF2B2B2B"/>
      <name val="Calibri"/>
      <charset val="1"/>
    </font>
    <font>
      <b/>
      <sz val="13"/>
      <color rgb="FF2B2B2B"/>
      <name val="Calibri"/>
      <charset val="1"/>
    </font>
    <font>
      <b/>
      <sz val="48"/>
      <color rgb="FF3575D5"/>
      <name val="Arial"/>
      <family val="2"/>
      <charset val="1"/>
    </font>
    <font>
      <sz val="12"/>
      <color rgb="FF3575D5"/>
      <name val="Aptos Narrow"/>
      <family val="2"/>
      <charset val="1"/>
    </font>
    <font>
      <b/>
      <sz val="10"/>
      <color rgb="FF0C447C"/>
      <name val="Calibri"/>
      <charset val="1"/>
    </font>
    <font>
      <sz val="11"/>
      <color rgb="FF333333"/>
      <name val="Calibri"/>
      <charset val="1"/>
    </font>
    <font>
      <sz val="10"/>
      <color rgb="FF1A1A1A"/>
      <name val="Calibri"/>
      <charset val="1"/>
    </font>
    <font>
      <sz val="10"/>
      <color rgb="FF0F6E38"/>
      <name val="Calibri"/>
      <charset val="1"/>
    </font>
    <font>
      <b/>
      <sz val="10"/>
      <color rgb="FFA32D2D"/>
      <name val="Calibri"/>
      <charset val="1"/>
    </font>
    <font>
      <sz val="48"/>
      <color theme="0" tint="-0.34998626667073579"/>
      <name val="Arial Black"/>
      <family val="2"/>
      <charset val="1"/>
    </font>
    <font>
      <i/>
      <sz val="10"/>
      <color theme="1"/>
      <name val="Aptos Narrow"/>
      <family val="2"/>
      <charset val="1"/>
    </font>
    <font>
      <sz val="11"/>
      <color rgb="FF555555"/>
      <name val="Calibri"/>
      <charset val="1"/>
    </font>
    <font>
      <b/>
      <sz val="16"/>
      <color rgb="FF3575D5"/>
      <name val="Aptos Narrow"/>
      <family val="2"/>
      <charset val="1"/>
    </font>
    <font>
      <b/>
      <sz val="16"/>
      <color rgb="FF243861"/>
      <name val="Aptos Narrow"/>
      <family val="2"/>
      <charset val="1"/>
    </font>
    <font>
      <sz val="11"/>
      <color rgb="FF000000"/>
      <name val="Aptos Narrow"/>
      <family val="2"/>
      <charset val="1"/>
    </font>
    <font>
      <i/>
      <u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i/>
      <sz val="12"/>
      <color theme="1"/>
      <name val="Aptos Narrow"/>
      <family val="2"/>
      <charset val="1"/>
    </font>
    <font>
      <sz val="12"/>
      <color rgb="FF000000"/>
      <name val="Aptos Narrow"/>
      <family val="2"/>
      <charset val="1"/>
    </font>
    <font>
      <b/>
      <sz val="12"/>
      <color rgb="FFFFFFFF"/>
      <name val="Aptos Narrow"/>
      <charset val="1"/>
    </font>
    <font>
      <i/>
      <sz val="12"/>
      <color rgb="FF000000"/>
      <name val="Aptos Narrow"/>
      <family val="2"/>
      <charset val="1"/>
    </font>
    <font>
      <b/>
      <sz val="10"/>
      <color theme="1"/>
      <name val="Aptos Narrow"/>
      <charset val="1"/>
    </font>
    <font>
      <b/>
      <sz val="12"/>
      <color rgb="FF2B2B2B"/>
      <name val="Aptos Narrow"/>
      <charset val="1"/>
    </font>
    <font>
      <sz val="12"/>
      <color theme="1"/>
      <name val="Aptos Narrow"/>
      <charset val="1"/>
    </font>
    <font>
      <b/>
      <sz val="12"/>
      <color rgb="FF000000"/>
      <name val="Aptos Narrow"/>
      <charset val="1"/>
    </font>
    <font>
      <sz val="10"/>
      <color theme="1"/>
      <name val="Aptos Narrow"/>
      <charset val="1"/>
    </font>
    <font>
      <sz val="12"/>
      <color rgb="FF000000"/>
      <name val="Aptos Narrow"/>
      <charset val="1"/>
    </font>
    <font>
      <i/>
      <sz val="11"/>
      <color theme="1"/>
      <name val="Aptos Narrow"/>
      <charset val="1"/>
    </font>
    <font>
      <b/>
      <sz val="12"/>
      <color rgb="FF0C447C"/>
      <name val="Aptos Narrow"/>
      <charset val="1"/>
    </font>
    <font>
      <b/>
      <sz val="12"/>
      <color theme="1"/>
      <name val="Aptos Narrow"/>
      <charset val="1"/>
    </font>
    <font>
      <b/>
      <u/>
      <sz val="12"/>
      <color theme="1"/>
      <name val="Aptos Narrow"/>
      <family val="2"/>
      <charset val="1"/>
    </font>
    <font>
      <b/>
      <u/>
      <sz val="12"/>
      <color theme="1"/>
      <name val="Aptos Narrow"/>
      <charset val="1"/>
    </font>
    <font>
      <i/>
      <sz val="12"/>
      <color theme="1"/>
      <name val="Aptos Narrow"/>
      <charset val="1"/>
    </font>
    <font>
      <i/>
      <sz val="10"/>
      <color theme="1"/>
      <name val="Aptos Narrow"/>
      <charset val="1"/>
    </font>
    <font>
      <b/>
      <i/>
      <sz val="12"/>
      <color rgb="FF0C447C"/>
      <name val="Aptos Narrow"/>
      <charset val="1"/>
    </font>
    <font>
      <b/>
      <sz val="10"/>
      <color rgb="FF0C447C"/>
      <name val="Aptos Narrow"/>
      <charset val="1"/>
    </font>
    <font>
      <sz val="10"/>
      <color theme="1"/>
      <name val="Aptos Narrow"/>
      <family val="2"/>
      <charset val="1"/>
    </font>
    <font>
      <sz val="12"/>
      <color rgb="FF0F6E38"/>
      <name val="Aptos Narrow"/>
      <charset val="1"/>
    </font>
    <font>
      <sz val="10"/>
      <name val="Arial"/>
      <family val="2"/>
    </font>
    <font>
      <b/>
      <sz val="12"/>
      <color rgb="FF0F6E38"/>
      <name val="Aptos Narrow"/>
      <charset val="1"/>
    </font>
    <font>
      <b/>
      <u/>
      <sz val="12"/>
      <color rgb="FF0F6E38"/>
      <name val="Aptos Narrow"/>
      <charset val="1"/>
    </font>
    <font>
      <i/>
      <sz val="12"/>
      <color rgb="FF0F6E38"/>
      <name val="Aptos Narrow"/>
      <charset val="1"/>
    </font>
    <font>
      <i/>
      <sz val="12"/>
      <color rgb="FFFF0000"/>
      <name val="Aptos Narrow"/>
      <charset val="1"/>
    </font>
    <font>
      <i/>
      <sz val="12"/>
      <color rgb="FF000000"/>
      <name val="Aptos Narrow"/>
      <charset val="1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  <charset val="1"/>
    </font>
    <font>
      <sz val="10"/>
      <color rgb="FF000000"/>
      <name val="Aptos Narrow"/>
      <charset val="1"/>
    </font>
    <font>
      <b/>
      <sz val="11"/>
      <color rgb="FFFFFFFF"/>
      <name val="Aptos Narrow"/>
      <charset val="1"/>
    </font>
    <font>
      <b/>
      <sz val="12"/>
      <color theme="9" tint="-0.499984740745262"/>
      <name val="Aptos Narrow"/>
      <charset val="1"/>
    </font>
    <font>
      <b/>
      <i/>
      <sz val="12"/>
      <color rgb="FF000000"/>
      <name val="Aptos Narrow"/>
      <charset val="1"/>
    </font>
    <font>
      <b/>
      <sz val="12"/>
      <color theme="0"/>
      <name val="Aptos Narrow"/>
      <charset val="1"/>
    </font>
    <font>
      <b/>
      <sz val="18"/>
      <color theme="4"/>
      <name val="Aptos Narrow"/>
      <charset val="1"/>
    </font>
    <font>
      <b/>
      <sz val="18"/>
      <color rgb="FF1EB1CE"/>
      <name val="Aptos Narrow"/>
      <charset val="1"/>
    </font>
    <font>
      <b/>
      <sz val="12"/>
      <color theme="0"/>
      <name val="Aptos Narrow"/>
      <family val="2"/>
      <charset val="1"/>
    </font>
    <font>
      <b/>
      <sz val="10"/>
      <color rgb="FFFFFFFF"/>
      <name val="Cambria"/>
      <family val="1"/>
      <charset val="1"/>
    </font>
    <font>
      <sz val="10"/>
      <name val="Cambria"/>
      <family val="1"/>
      <charset val="1"/>
    </font>
    <font>
      <b/>
      <sz val="18"/>
      <color rgb="FFFFFFFF"/>
      <name val="Calibri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0C447C"/>
      <name val="Calibri"/>
      <charset val="1"/>
    </font>
    <font>
      <sz val="11"/>
      <color theme="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3.5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sz val="12"/>
      <color theme="1"/>
      <name val="Aptos Narrow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2B2B2B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E8EDF2"/>
        <bgColor rgb="FFF0F0F0"/>
      </patternFill>
    </fill>
    <fill>
      <patternFill patternType="solid">
        <fgColor theme="0" tint="-0.249977111117893"/>
        <bgColor rgb="FFCCCCCC"/>
      </patternFill>
    </fill>
    <fill>
      <patternFill patternType="solid">
        <fgColor rgb="FFF0F0F0"/>
        <bgColor rgb="FFF2F2F2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 tint="-4.9989318521683403E-2"/>
        <bgColor rgb="FFF0F0F0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3" tint="0.89989928891872917"/>
        <bgColor rgb="FFE8EDF2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6" fontId="74" fillId="0" borderId="0"/>
    <xf numFmtId="9" fontId="74" fillId="0" borderId="0"/>
    <xf numFmtId="0" fontId="74" fillId="0" borderId="0"/>
    <xf numFmtId="0" fontId="2" fillId="0" borderId="0"/>
    <xf numFmtId="0" fontId="3" fillId="0" borderId="0"/>
    <xf numFmtId="0" fontId="1" fillId="0" borderId="0"/>
  </cellStyleXfs>
  <cellXfs count="310">
    <xf numFmtId="0" fontId="0" fillId="0" borderId="0" xfId="0"/>
    <xf numFmtId="0" fontId="67" fillId="3" borderId="5" xfId="0" applyFont="1" applyFill="1" applyBorder="1" applyAlignment="1">
      <alignment horizontal="center"/>
    </xf>
    <xf numFmtId="0" fontId="65" fillId="3" borderId="5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6" fillId="2" borderId="0" xfId="0" applyFont="1" applyFill="1" applyBorder="1" applyAlignment="1">
      <alignment vertical="top" wrapText="1"/>
    </xf>
    <xf numFmtId="0" fontId="18" fillId="2" borderId="0" xfId="0" applyFont="1" applyFill="1" applyBorder="1"/>
    <xf numFmtId="0" fontId="12" fillId="2" borderId="0" xfId="0" applyFont="1" applyFill="1" applyBorder="1"/>
    <xf numFmtId="0" fontId="8" fillId="2" borderId="0" xfId="0" applyFont="1" applyFill="1" applyBorder="1"/>
    <xf numFmtId="0" fontId="7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9" fillId="2" borderId="0" xfId="3" applyFont="1" applyFill="1" applyAlignment="1">
      <alignment vertical="center"/>
    </xf>
    <xf numFmtId="0" fontId="10" fillId="2" borderId="0" xfId="0" applyFont="1" applyFill="1"/>
    <xf numFmtId="0" fontId="11" fillId="5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17" fillId="2" borderId="0" xfId="5" applyFont="1" applyFill="1" applyAlignment="1">
      <alignment horizontal="left"/>
    </xf>
    <xf numFmtId="0" fontId="19" fillId="0" borderId="0" xfId="3" applyFont="1"/>
    <xf numFmtId="0" fontId="20" fillId="0" borderId="0" xfId="3" applyFont="1"/>
    <xf numFmtId="0" fontId="21" fillId="0" borderId="0" xfId="3" applyFont="1"/>
    <xf numFmtId="0" fontId="0" fillId="0" borderId="0" xfId="0" applyFont="1"/>
    <xf numFmtId="0" fontId="3" fillId="0" borderId="0" xfId="0" applyFont="1"/>
    <xf numFmtId="0" fontId="0" fillId="0" borderId="2" xfId="0" applyFont="1" applyBorder="1"/>
    <xf numFmtId="0" fontId="0" fillId="0" borderId="3" xfId="0" applyFont="1" applyBorder="1"/>
    <xf numFmtId="0" fontId="22" fillId="0" borderId="0" xfId="3" applyFont="1" applyAlignment="1">
      <alignment horizontal="left" vertical="top"/>
    </xf>
    <xf numFmtId="0" fontId="24" fillId="0" borderId="0" xfId="0" applyFont="1"/>
    <xf numFmtId="0" fontId="25" fillId="0" borderId="0" xfId="3" applyFont="1"/>
    <xf numFmtId="0" fontId="0" fillId="0" borderId="0" xfId="3" applyFont="1"/>
    <xf numFmtId="164" fontId="26" fillId="3" borderId="0" xfId="0" applyNumberFormat="1" applyFont="1" applyFill="1"/>
    <xf numFmtId="0" fontId="0" fillId="6" borderId="0" xfId="0" applyFont="1" applyFill="1"/>
    <xf numFmtId="164" fontId="26" fillId="3" borderId="2" xfId="0" applyNumberFormat="1" applyFont="1" applyFill="1" applyBorder="1"/>
    <xf numFmtId="0" fontId="27" fillId="0" borderId="0" xfId="3" applyFont="1"/>
    <xf numFmtId="0" fontId="28" fillId="0" borderId="0" xfId="3" applyFont="1"/>
    <xf numFmtId="165" fontId="29" fillId="7" borderId="0" xfId="0" applyNumberFormat="1" applyFont="1" applyFill="1"/>
    <xf numFmtId="0" fontId="30" fillId="6" borderId="0" xfId="0" applyFont="1" applyFill="1"/>
    <xf numFmtId="0" fontId="31" fillId="6" borderId="0" xfId="3" applyFont="1" applyFill="1"/>
    <xf numFmtId="0" fontId="32" fillId="6" borderId="0" xfId="3" applyFont="1" applyFill="1"/>
    <xf numFmtId="0" fontId="33" fillId="6" borderId="0" xfId="3" applyFont="1" applyFill="1"/>
    <xf numFmtId="0" fontId="30" fillId="6" borderId="0" xfId="3" applyFont="1" applyFill="1"/>
    <xf numFmtId="165" fontId="23" fillId="2" borderId="0" xfId="0" applyNumberFormat="1" applyFont="1" applyFill="1"/>
    <xf numFmtId="0" fontId="34" fillId="0" borderId="0" xfId="0" applyFont="1" applyAlignment="1">
      <alignment horizontal="right"/>
    </xf>
    <xf numFmtId="165" fontId="30" fillId="6" borderId="0" xfId="0" applyNumberFormat="1" applyFont="1" applyFill="1"/>
    <xf numFmtId="167" fontId="30" fillId="0" borderId="0" xfId="1" applyNumberFormat="1" applyFont="1" applyAlignment="1">
      <alignment horizontal="left"/>
    </xf>
    <xf numFmtId="167" fontId="32" fillId="2" borderId="0" xfId="1" applyNumberFormat="1" applyFont="1" applyFill="1" applyAlignment="1">
      <alignment horizontal="left"/>
    </xf>
    <xf numFmtId="0" fontId="33" fillId="2" borderId="0" xfId="3" applyFont="1" applyFill="1"/>
    <xf numFmtId="0" fontId="30" fillId="2" borderId="0" xfId="3" applyFont="1" applyFill="1"/>
    <xf numFmtId="0" fontId="30" fillId="2" borderId="0" xfId="0" applyFont="1" applyFill="1"/>
    <xf numFmtId="0" fontId="35" fillId="5" borderId="0" xfId="0" applyFont="1" applyFill="1"/>
    <xf numFmtId="165" fontId="30" fillId="2" borderId="0" xfId="0" applyNumberFormat="1" applyFont="1" applyFill="1"/>
    <xf numFmtId="0" fontId="32" fillId="2" borderId="0" xfId="3" applyFont="1" applyFill="1"/>
    <xf numFmtId="166" fontId="30" fillId="2" borderId="5" xfId="1" applyFont="1" applyFill="1" applyBorder="1"/>
    <xf numFmtId="166" fontId="35" fillId="5" borderId="5" xfId="1" applyFont="1" applyFill="1" applyBorder="1"/>
    <xf numFmtId="168" fontId="0" fillId="0" borderId="0" xfId="1" applyNumberFormat="1" applyFont="1"/>
    <xf numFmtId="0" fontId="32" fillId="0" borderId="0" xfId="0" applyFont="1"/>
    <xf numFmtId="0" fontId="32" fillId="0" borderId="0" xfId="0" applyFont="1" applyAlignment="1">
      <alignment horizontal="right"/>
    </xf>
    <xf numFmtId="168" fontId="35" fillId="5" borderId="5" xfId="1" applyNumberFormat="1" applyFont="1" applyFill="1" applyBorder="1"/>
    <xf numFmtId="9" fontId="32" fillId="0" borderId="0" xfId="0" applyNumberFormat="1" applyFont="1"/>
    <xf numFmtId="168" fontId="0" fillId="2" borderId="5" xfId="1" applyNumberFormat="1" applyFont="1" applyFill="1" applyBorder="1"/>
    <xf numFmtId="0" fontId="35" fillId="5" borderId="5" xfId="0" applyFont="1" applyFill="1" applyBorder="1"/>
    <xf numFmtId="168" fontId="32" fillId="0" borderId="0" xfId="0" applyNumberFormat="1" applyFont="1"/>
    <xf numFmtId="0" fontId="0" fillId="2" borderId="5" xfId="0" applyFont="1" applyFill="1" applyBorder="1"/>
    <xf numFmtId="0" fontId="36" fillId="0" borderId="0" xfId="0" applyFont="1"/>
    <xf numFmtId="9" fontId="35" fillId="5" borderId="5" xfId="0" applyNumberFormat="1" applyFont="1" applyFill="1" applyBorder="1"/>
    <xf numFmtId="169" fontId="0" fillId="2" borderId="5" xfId="2" applyNumberFormat="1" applyFont="1" applyFill="1" applyBorder="1"/>
    <xf numFmtId="0" fontId="32" fillId="6" borderId="0" xfId="0" applyFont="1" applyFill="1"/>
    <xf numFmtId="0" fontId="36" fillId="8" borderId="0" xfId="0" applyFont="1" applyFill="1"/>
    <xf numFmtId="0" fontId="32" fillId="8" borderId="0" xfId="0" applyFont="1" applyFill="1"/>
    <xf numFmtId="0" fontId="0" fillId="8" borderId="0" xfId="0" applyFont="1" applyFill="1"/>
    <xf numFmtId="0" fontId="37" fillId="0" borderId="0" xfId="0" applyFont="1"/>
    <xf numFmtId="9" fontId="35" fillId="5" borderId="5" xfId="2" applyFont="1" applyFill="1" applyBorder="1"/>
    <xf numFmtId="166" fontId="32" fillId="0" borderId="0" xfId="0" applyNumberFormat="1" applyFont="1"/>
    <xf numFmtId="10" fontId="35" fillId="5" borderId="5" xfId="0" applyNumberFormat="1" applyFont="1" applyFill="1" applyBorder="1"/>
    <xf numFmtId="0" fontId="38" fillId="0" borderId="0" xfId="0" applyFont="1"/>
    <xf numFmtId="0" fontId="31" fillId="9" borderId="0" xfId="3" applyFont="1" applyFill="1"/>
    <xf numFmtId="0" fontId="32" fillId="9" borderId="0" xfId="3" applyFont="1" applyFill="1"/>
    <xf numFmtId="0" fontId="33" fillId="9" borderId="0" xfId="3" applyFont="1" applyFill="1"/>
    <xf numFmtId="0" fontId="30" fillId="9" borderId="0" xfId="3" applyFont="1" applyFill="1"/>
    <xf numFmtId="0" fontId="30" fillId="9" borderId="0" xfId="0" applyFont="1" applyFill="1"/>
    <xf numFmtId="0" fontId="32" fillId="9" borderId="0" xfId="0" applyFont="1" applyFill="1"/>
    <xf numFmtId="165" fontId="30" fillId="9" borderId="0" xfId="0" applyNumberFormat="1" applyFont="1" applyFill="1"/>
    <xf numFmtId="10" fontId="35" fillId="5" borderId="5" xfId="2" applyNumberFormat="1" applyFont="1" applyFill="1" applyBorder="1"/>
    <xf numFmtId="0" fontId="39" fillId="0" borderId="0" xfId="0" applyFont="1"/>
    <xf numFmtId="0" fontId="40" fillId="0" borderId="0" xfId="0" applyFont="1"/>
    <xf numFmtId="0" fontId="40" fillId="0" borderId="0" xfId="0" applyFont="1" applyAlignment="1">
      <alignment horizontal="right"/>
    </xf>
    <xf numFmtId="168" fontId="41" fillId="5" borderId="5" xfId="1" applyNumberFormat="1" applyFont="1" applyFill="1" applyBorder="1"/>
    <xf numFmtId="168" fontId="40" fillId="0" borderId="0" xfId="0" applyNumberFormat="1" applyFont="1"/>
    <xf numFmtId="168" fontId="39" fillId="2" borderId="5" xfId="1" applyNumberFormat="1" applyFont="1" applyFill="1" applyBorder="1"/>
    <xf numFmtId="168" fontId="35" fillId="5" borderId="5" xfId="0" applyNumberFormat="1" applyFont="1" applyFill="1" applyBorder="1"/>
    <xf numFmtId="9" fontId="0" fillId="2" borderId="0" xfId="0" applyNumberFormat="1" applyFont="1" applyFill="1"/>
    <xf numFmtId="0" fontId="32" fillId="2" borderId="0" xfId="0" applyFont="1" applyFill="1"/>
    <xf numFmtId="9" fontId="0" fillId="2" borderId="0" xfId="2" applyFont="1" applyFill="1"/>
    <xf numFmtId="0" fontId="30" fillId="0" borderId="0" xfId="0" applyFont="1"/>
    <xf numFmtId="9" fontId="0" fillId="2" borderId="5" xfId="2" applyFont="1" applyFill="1" applyBorder="1"/>
    <xf numFmtId="17" fontId="0" fillId="2" borderId="0" xfId="0" applyNumberFormat="1" applyFont="1" applyFill="1"/>
    <xf numFmtId="0" fontId="36" fillId="9" borderId="0" xfId="0" applyFont="1" applyFill="1"/>
    <xf numFmtId="0" fontId="0" fillId="9" borderId="0" xfId="0" applyFont="1" applyFill="1"/>
    <xf numFmtId="9" fontId="0" fillId="9" borderId="0" xfId="0" applyNumberFormat="1" applyFont="1" applyFill="1"/>
    <xf numFmtId="168" fontId="42" fillId="5" borderId="5" xfId="1" applyNumberFormat="1" applyFont="1" applyFill="1" applyBorder="1"/>
    <xf numFmtId="168" fontId="35" fillId="5" borderId="0" xfId="1" applyNumberFormat="1" applyFont="1" applyFill="1"/>
    <xf numFmtId="168" fontId="35" fillId="5" borderId="0" xfId="0" applyNumberFormat="1" applyFont="1" applyFill="1"/>
    <xf numFmtId="0" fontId="32" fillId="2" borderId="0" xfId="0" applyFont="1" applyFill="1" applyAlignment="1">
      <alignment horizontal="right"/>
    </xf>
    <xf numFmtId="168" fontId="0" fillId="2" borderId="0" xfId="1" applyNumberFormat="1" applyFont="1" applyFill="1"/>
    <xf numFmtId="0" fontId="0" fillId="0" borderId="5" xfId="0" applyFont="1" applyBorder="1"/>
    <xf numFmtId="167" fontId="0" fillId="0" borderId="0" xfId="1" applyNumberFormat="1" applyFont="1"/>
    <xf numFmtId="0" fontId="35" fillId="5" borderId="5" xfId="0" applyFont="1" applyFill="1" applyBorder="1" applyAlignment="1">
      <alignment horizontal="right"/>
    </xf>
    <xf numFmtId="0" fontId="43" fillId="0" borderId="0" xfId="0" applyFont="1"/>
    <xf numFmtId="0" fontId="44" fillId="2" borderId="0" xfId="0" applyFont="1" applyFill="1"/>
    <xf numFmtId="0" fontId="23" fillId="0" borderId="0" xfId="3" applyFont="1"/>
    <xf numFmtId="0" fontId="31" fillId="10" borderId="0" xfId="3" applyFont="1" applyFill="1"/>
    <xf numFmtId="0" fontId="23" fillId="10" borderId="0" xfId="3" applyFont="1" applyFill="1"/>
    <xf numFmtId="0" fontId="25" fillId="10" borderId="0" xfId="3" applyFont="1" applyFill="1"/>
    <xf numFmtId="0" fontId="0" fillId="10" borderId="0" xfId="3" applyFont="1" applyFill="1"/>
    <xf numFmtId="0" fontId="0" fillId="10" borderId="0" xfId="0" applyFont="1" applyFill="1"/>
    <xf numFmtId="165" fontId="23" fillId="10" borderId="0" xfId="0" applyNumberFormat="1" applyFont="1" applyFill="1"/>
    <xf numFmtId="0" fontId="23" fillId="2" borderId="0" xfId="3" applyFont="1" applyFill="1"/>
    <xf numFmtId="0" fontId="25" fillId="2" borderId="0" xfId="3" applyFont="1" applyFill="1"/>
    <xf numFmtId="0" fontId="0" fillId="2" borderId="0" xfId="3" applyFont="1" applyFill="1"/>
    <xf numFmtId="166" fontId="44" fillId="2" borderId="0" xfId="1" applyFont="1" applyFill="1"/>
    <xf numFmtId="0" fontId="38" fillId="6" borderId="0" xfId="0" applyFont="1" applyFill="1"/>
    <xf numFmtId="166" fontId="44" fillId="0" borderId="0" xfId="1" applyFont="1"/>
    <xf numFmtId="167" fontId="35" fillId="5" borderId="0" xfId="1" applyNumberFormat="1" applyFont="1" applyFill="1"/>
    <xf numFmtId="167" fontId="0" fillId="0" borderId="0" xfId="0" applyNumberFormat="1" applyFont="1"/>
    <xf numFmtId="167" fontId="0" fillId="11" borderId="0" xfId="1" applyNumberFormat="1" applyFont="1" applyFill="1"/>
    <xf numFmtId="170" fontId="44" fillId="0" borderId="0" xfId="1" applyNumberFormat="1" applyFont="1"/>
    <xf numFmtId="167" fontId="0" fillId="0" borderId="2" xfId="1" applyNumberFormat="1" applyFont="1" applyBorder="1"/>
    <xf numFmtId="167" fontId="0" fillId="2" borderId="2" xfId="1" applyNumberFormat="1" applyFont="1" applyFill="1" applyBorder="1"/>
    <xf numFmtId="168" fontId="0" fillId="0" borderId="2" xfId="1" applyNumberFormat="1" applyFont="1" applyBorder="1"/>
    <xf numFmtId="167" fontId="38" fillId="6" borderId="0" xfId="1" applyNumberFormat="1" applyFont="1" applyFill="1"/>
    <xf numFmtId="167" fontId="0" fillId="6" borderId="0" xfId="1" applyNumberFormat="1" applyFont="1" applyFill="1"/>
    <xf numFmtId="168" fontId="44" fillId="0" borderId="0" xfId="1" applyNumberFormat="1" applyFont="1"/>
    <xf numFmtId="168" fontId="46" fillId="2" borderId="0" xfId="1" applyNumberFormat="1" applyFont="1" applyFill="1"/>
    <xf numFmtId="168" fontId="36" fillId="0" borderId="0" xfId="0" applyNumberFormat="1" applyFont="1"/>
    <xf numFmtId="166" fontId="0" fillId="0" borderId="0" xfId="0" applyNumberFormat="1" applyFont="1"/>
    <xf numFmtId="171" fontId="0" fillId="0" borderId="0" xfId="0" applyNumberFormat="1" applyFont="1"/>
    <xf numFmtId="166" fontId="0" fillId="0" borderId="0" xfId="1" applyFont="1"/>
    <xf numFmtId="0" fontId="46" fillId="6" borderId="0" xfId="0" applyFont="1" applyFill="1"/>
    <xf numFmtId="0" fontId="47" fillId="0" borderId="0" xfId="0" applyFont="1"/>
    <xf numFmtId="168" fontId="36" fillId="0" borderId="0" xfId="1" applyNumberFormat="1" applyFont="1"/>
    <xf numFmtId="0" fontId="44" fillId="0" borderId="0" xfId="0" applyFont="1"/>
    <xf numFmtId="168" fontId="30" fillId="0" borderId="0" xfId="1" applyNumberFormat="1" applyFont="1"/>
    <xf numFmtId="0" fontId="48" fillId="0" borderId="0" xfId="0" applyFont="1"/>
    <xf numFmtId="0" fontId="48" fillId="0" borderId="0" xfId="0" applyFont="1" applyAlignment="1">
      <alignment horizontal="right"/>
    </xf>
    <xf numFmtId="0" fontId="41" fillId="5" borderId="5" xfId="0" applyFont="1" applyFill="1" applyBorder="1"/>
    <xf numFmtId="166" fontId="48" fillId="2" borderId="0" xfId="1" applyFont="1" applyFill="1"/>
    <xf numFmtId="172" fontId="48" fillId="0" borderId="0" xfId="0" applyNumberFormat="1" applyFont="1"/>
    <xf numFmtId="172" fontId="0" fillId="0" borderId="0" xfId="0" applyNumberFormat="1" applyFont="1"/>
    <xf numFmtId="0" fontId="44" fillId="0" borderId="0" xfId="0" applyFont="1" applyAlignment="1">
      <alignment horizontal="right"/>
    </xf>
    <xf numFmtId="168" fontId="36" fillId="0" borderId="2" xfId="0" applyNumberFormat="1" applyFont="1" applyBorder="1"/>
    <xf numFmtId="168" fontId="36" fillId="0" borderId="2" xfId="1" applyNumberFormat="1" applyFont="1" applyBorder="1"/>
    <xf numFmtId="0" fontId="47" fillId="8" borderId="0" xfId="0" applyFont="1" applyFill="1"/>
    <xf numFmtId="168" fontId="0" fillId="8" borderId="0" xfId="0" applyNumberFormat="1" applyFont="1" applyFill="1"/>
    <xf numFmtId="168" fontId="48" fillId="0" borderId="0" xfId="1" applyNumberFormat="1" applyFont="1"/>
    <xf numFmtId="1" fontId="39" fillId="0" borderId="0" xfId="0" applyNumberFormat="1" applyFont="1"/>
    <xf numFmtId="166" fontId="49" fillId="0" borderId="0" xfId="0" applyNumberFormat="1" applyFont="1"/>
    <xf numFmtId="168" fontId="30" fillId="0" borderId="2" xfId="1" applyNumberFormat="1" applyFont="1" applyBorder="1"/>
    <xf numFmtId="167" fontId="48" fillId="0" borderId="0" xfId="1" applyNumberFormat="1" applyFont="1" applyAlignment="1">
      <alignment horizontal="right"/>
    </xf>
    <xf numFmtId="173" fontId="0" fillId="0" borderId="0" xfId="0" applyNumberFormat="1" applyFont="1"/>
    <xf numFmtId="0" fontId="30" fillId="0" borderId="0" xfId="0" applyFont="1" applyAlignment="1">
      <alignment horizontal="right"/>
    </xf>
    <xf numFmtId="9" fontId="30" fillId="2" borderId="0" xfId="2" applyFont="1" applyFill="1"/>
    <xf numFmtId="173" fontId="0" fillId="0" borderId="2" xfId="0" applyNumberFormat="1" applyFont="1" applyBorder="1"/>
    <xf numFmtId="173" fontId="36" fillId="0" borderId="0" xfId="0" applyNumberFormat="1" applyFont="1"/>
    <xf numFmtId="0" fontId="46" fillId="8" borderId="0" xfId="0" applyFont="1" applyFill="1"/>
    <xf numFmtId="0" fontId="46" fillId="2" borderId="0" xfId="0" applyFont="1" applyFill="1"/>
    <xf numFmtId="0" fontId="36" fillId="2" borderId="0" xfId="0" applyFont="1" applyFill="1"/>
    <xf numFmtId="168" fontId="44" fillId="2" borderId="0" xfId="1" applyNumberFormat="1" applyFont="1" applyFill="1"/>
    <xf numFmtId="0" fontId="44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168" fontId="30" fillId="0" borderId="2" xfId="0" applyNumberFormat="1" applyFont="1" applyBorder="1"/>
    <xf numFmtId="168" fontId="44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68" fontId="44" fillId="0" borderId="6" xfId="1" applyNumberFormat="1" applyFont="1" applyBorder="1"/>
    <xf numFmtId="0" fontId="0" fillId="0" borderId="0" xfId="0" applyFont="1" applyAlignment="1">
      <alignment horizontal="left"/>
    </xf>
    <xf numFmtId="168" fontId="35" fillId="5" borderId="7" xfId="0" applyNumberFormat="1" applyFont="1" applyFill="1" applyBorder="1"/>
    <xf numFmtId="9" fontId="35" fillId="5" borderId="7" xfId="0" applyNumberFormat="1" applyFont="1" applyFill="1" applyBorder="1"/>
    <xf numFmtId="9" fontId="44" fillId="0" borderId="0" xfId="0" applyNumberFormat="1" applyFont="1"/>
    <xf numFmtId="172" fontId="36" fillId="0" borderId="0" xfId="0" applyNumberFormat="1" applyFont="1"/>
    <xf numFmtId="166" fontId="44" fillId="2" borderId="0" xfId="0" applyNumberFormat="1" applyFont="1" applyFill="1"/>
    <xf numFmtId="168" fontId="44" fillId="0" borderId="0" xfId="0" applyNumberFormat="1" applyFont="1"/>
    <xf numFmtId="0" fontId="36" fillId="0" borderId="8" xfId="0" applyFont="1" applyBorder="1"/>
    <xf numFmtId="168" fontId="36" fillId="0" borderId="9" xfId="0" applyNumberFormat="1" applyFont="1" applyBorder="1"/>
    <xf numFmtId="168" fontId="30" fillId="0" borderId="10" xfId="1" applyNumberFormat="1" applyFont="1" applyBorder="1"/>
    <xf numFmtId="0" fontId="31" fillId="0" borderId="0" xfId="0" applyFont="1"/>
    <xf numFmtId="0" fontId="33" fillId="0" borderId="0" xfId="0" applyFont="1"/>
    <xf numFmtId="9" fontId="30" fillId="0" borderId="0" xfId="2" applyFont="1"/>
    <xf numFmtId="0" fontId="33" fillId="0" borderId="0" xfId="0" applyFont="1" applyAlignment="1">
      <alignment horizontal="left"/>
    </xf>
    <xf numFmtId="9" fontId="0" fillId="0" borderId="0" xfId="2" applyFont="1"/>
    <xf numFmtId="167" fontId="44" fillId="0" borderId="0" xfId="1" applyNumberFormat="1" applyFont="1"/>
    <xf numFmtId="10" fontId="30" fillId="0" borderId="0" xfId="2" applyNumberFormat="1" applyFont="1"/>
    <xf numFmtId="0" fontId="31" fillId="0" borderId="2" xfId="0" applyFont="1" applyBorder="1"/>
    <xf numFmtId="0" fontId="33" fillId="0" borderId="2" xfId="0" applyFont="1" applyBorder="1"/>
    <xf numFmtId="9" fontId="36" fillId="0" borderId="0" xfId="2" applyFont="1"/>
    <xf numFmtId="174" fontId="26" fillId="3" borderId="0" xfId="0" applyNumberFormat="1" applyFont="1" applyFill="1" applyAlignment="1">
      <alignment horizontal="center" vertical="center"/>
    </xf>
    <xf numFmtId="0" fontId="26" fillId="3" borderId="0" xfId="0" applyFont="1" applyFill="1"/>
    <xf numFmtId="168" fontId="26" fillId="3" borderId="0" xfId="0" applyNumberFormat="1" applyFont="1" applyFill="1"/>
    <xf numFmtId="168" fontId="26" fillId="3" borderId="0" xfId="1" applyNumberFormat="1" applyFont="1" applyFill="1"/>
    <xf numFmtId="9" fontId="26" fillId="3" borderId="0" xfId="2" applyFont="1" applyFill="1"/>
    <xf numFmtId="0" fontId="50" fillId="0" borderId="0" xfId="0" applyFont="1"/>
    <xf numFmtId="9" fontId="39" fillId="0" borderId="0" xfId="2" applyFont="1"/>
    <xf numFmtId="168" fontId="44" fillId="0" borderId="0" xfId="1" applyNumberFormat="1" applyFont="1" applyAlignment="1">
      <alignment horizontal="left"/>
    </xf>
    <xf numFmtId="168" fontId="33" fillId="0" borderId="0" xfId="1" applyNumberFormat="1" applyFont="1" applyAlignment="1">
      <alignment horizontal="left"/>
    </xf>
    <xf numFmtId="0" fontId="33" fillId="0" borderId="0" xfId="0" applyFont="1" applyAlignment="1">
      <alignment horizontal="left" indent="1"/>
    </xf>
    <xf numFmtId="0" fontId="33" fillId="0" borderId="0" xfId="0" applyFont="1" applyAlignment="1">
      <alignment horizontal="left" indent="2"/>
    </xf>
    <xf numFmtId="0" fontId="33" fillId="0" borderId="0" xfId="0" applyFont="1" applyAlignment="1">
      <alignment horizontal="left" indent="3"/>
    </xf>
    <xf numFmtId="168" fontId="33" fillId="0" borderId="2" xfId="0" applyNumberFormat="1" applyFont="1" applyBorder="1"/>
    <xf numFmtId="9" fontId="36" fillId="0" borderId="2" xfId="2" applyFont="1" applyBorder="1"/>
    <xf numFmtId="174" fontId="26" fillId="3" borderId="0" xfId="0" applyNumberFormat="1" applyFont="1" applyFill="1" applyAlignment="1">
      <alignment horizontal="left" vertical="center"/>
    </xf>
    <xf numFmtId="0" fontId="50" fillId="2" borderId="0" xfId="0" applyFont="1" applyFill="1"/>
    <xf numFmtId="0" fontId="33" fillId="2" borderId="0" xfId="0" applyFont="1" applyFill="1"/>
    <xf numFmtId="0" fontId="26" fillId="2" borderId="0" xfId="0" applyFont="1" applyFill="1"/>
    <xf numFmtId="0" fontId="51" fillId="0" borderId="0" xfId="3" applyFont="1"/>
    <xf numFmtId="0" fontId="52" fillId="0" borderId="0" xfId="3" applyFont="1"/>
    <xf numFmtId="0" fontId="53" fillId="0" borderId="0" xfId="3" applyFont="1"/>
    <xf numFmtId="0" fontId="54" fillId="0" borderId="2" xfId="3" applyFont="1" applyBorder="1"/>
    <xf numFmtId="0" fontId="51" fillId="0" borderId="2" xfId="3" applyFont="1" applyBorder="1"/>
    <xf numFmtId="0" fontId="30" fillId="0" borderId="2" xfId="0" applyFont="1" applyBorder="1"/>
    <xf numFmtId="0" fontId="54" fillId="0" borderId="0" xfId="4" applyFont="1"/>
    <xf numFmtId="0" fontId="53" fillId="0" borderId="0" xfId="4" applyFont="1"/>
    <xf numFmtId="0" fontId="52" fillId="0" borderId="0" xfId="4" applyFont="1"/>
    <xf numFmtId="0" fontId="52" fillId="0" borderId="0" xfId="4" applyFont="1" applyAlignment="1">
      <alignment horizontal="left" indent="1"/>
    </xf>
    <xf numFmtId="0" fontId="55" fillId="0" borderId="0" xfId="4" applyFont="1"/>
    <xf numFmtId="0" fontId="51" fillId="0" borderId="0" xfId="4" applyFont="1"/>
    <xf numFmtId="0" fontId="56" fillId="3" borderId="0" xfId="3" applyFont="1" applyFill="1"/>
    <xf numFmtId="4" fontId="56" fillId="3" borderId="0" xfId="3" applyNumberFormat="1" applyFont="1" applyFill="1" applyAlignment="1">
      <alignment vertical="top"/>
    </xf>
    <xf numFmtId="0" fontId="54" fillId="0" borderId="0" xfId="3" applyFont="1"/>
    <xf numFmtId="0" fontId="55" fillId="0" borderId="0" xfId="3" applyFont="1"/>
    <xf numFmtId="0" fontId="36" fillId="0" borderId="2" xfId="0" applyFont="1" applyBorder="1"/>
    <xf numFmtId="4" fontId="26" fillId="3" borderId="0" xfId="3" applyNumberFormat="1" applyFont="1" applyFill="1" applyAlignment="1">
      <alignment vertical="top"/>
    </xf>
    <xf numFmtId="168" fontId="56" fillId="3" borderId="0" xfId="1" applyNumberFormat="1" applyFont="1" applyFill="1"/>
    <xf numFmtId="0" fontId="57" fillId="0" borderId="0" xfId="0" applyFont="1"/>
    <xf numFmtId="168" fontId="0" fillId="0" borderId="0" xfId="0" applyNumberFormat="1" applyFont="1"/>
    <xf numFmtId="0" fontId="58" fillId="2" borderId="8" xfId="0" applyFont="1" applyFill="1" applyBorder="1"/>
    <xf numFmtId="0" fontId="30" fillId="2" borderId="8" xfId="0" applyFont="1" applyFill="1" applyBorder="1"/>
    <xf numFmtId="0" fontId="30" fillId="0" borderId="11" xfId="3" applyFont="1" applyBorder="1"/>
    <xf numFmtId="0" fontId="30" fillId="0" borderId="11" xfId="0" applyFont="1" applyBorder="1"/>
    <xf numFmtId="0" fontId="30" fillId="0" borderId="0" xfId="3" applyFont="1"/>
    <xf numFmtId="0" fontId="36" fillId="0" borderId="0" xfId="3" applyFont="1"/>
    <xf numFmtId="0" fontId="36" fillId="2" borderId="2" xfId="3" applyFont="1" applyFill="1" applyBorder="1"/>
    <xf numFmtId="0" fontId="36" fillId="2" borderId="0" xfId="3" applyFont="1" applyFill="1"/>
    <xf numFmtId="175" fontId="33" fillId="0" borderId="0" xfId="0" applyNumberFormat="1" applyFont="1"/>
    <xf numFmtId="0" fontId="59" fillId="2" borderId="0" xfId="3" applyFont="1" applyFill="1"/>
    <xf numFmtId="0" fontId="26" fillId="3" borderId="8" xfId="0" applyFont="1" applyFill="1" applyBorder="1"/>
    <xf numFmtId="4" fontId="26" fillId="3" borderId="12" xfId="0" applyNumberFormat="1" applyFont="1" applyFill="1" applyBorder="1" applyAlignment="1">
      <alignment vertical="top"/>
    </xf>
    <xf numFmtId="0" fontId="26" fillId="3" borderId="8" xfId="3" applyFont="1" applyFill="1" applyBorder="1"/>
    <xf numFmtId="168" fontId="26" fillId="3" borderId="8" xfId="0" applyNumberFormat="1" applyFont="1" applyFill="1" applyBorder="1"/>
    <xf numFmtId="168" fontId="26" fillId="3" borderId="8" xfId="1" applyNumberFormat="1" applyFont="1" applyFill="1" applyBorder="1"/>
    <xf numFmtId="0" fontId="58" fillId="0" borderId="11" xfId="0" applyFont="1" applyBorder="1"/>
    <xf numFmtId="0" fontId="33" fillId="0" borderId="11" xfId="0" applyFont="1" applyBorder="1"/>
    <xf numFmtId="0" fontId="30" fillId="2" borderId="2" xfId="0" applyFont="1" applyFill="1" applyBorder="1"/>
    <xf numFmtId="4" fontId="59" fillId="0" borderId="0" xfId="0" applyNumberFormat="1" applyFont="1" applyAlignment="1">
      <alignment vertical="top"/>
    </xf>
    <xf numFmtId="0" fontId="59" fillId="0" borderId="0" xfId="0" applyFont="1"/>
    <xf numFmtId="0" fontId="31" fillId="0" borderId="8" xfId="0" applyFont="1" applyBorder="1"/>
    <xf numFmtId="0" fontId="30" fillId="0" borderId="8" xfId="0" applyFont="1" applyBorder="1"/>
    <xf numFmtId="0" fontId="0" fillId="0" borderId="8" xfId="0" applyFont="1" applyBorder="1"/>
    <xf numFmtId="168" fontId="36" fillId="0" borderId="8" xfId="1" applyNumberFormat="1" applyFont="1" applyBorder="1"/>
    <xf numFmtId="0" fontId="61" fillId="0" borderId="0" xfId="0" applyFont="1" applyAlignment="1">
      <alignment horizontal="left"/>
    </xf>
    <xf numFmtId="0" fontId="23" fillId="0" borderId="4" xfId="0" applyFont="1" applyBorder="1"/>
    <xf numFmtId="164" fontId="62" fillId="2" borderId="0" xfId="0" applyNumberFormat="1" applyFont="1" applyFill="1"/>
    <xf numFmtId="164" fontId="62" fillId="2" borderId="2" xfId="0" applyNumberFormat="1" applyFont="1" applyFill="1" applyBorder="1"/>
    <xf numFmtId="164" fontId="23" fillId="2" borderId="0" xfId="0" applyNumberFormat="1" applyFont="1" applyFill="1"/>
    <xf numFmtId="0" fontId="36" fillId="0" borderId="0" xfId="0" applyFont="1" applyAlignment="1">
      <alignment horizontal="center" wrapText="1"/>
    </xf>
    <xf numFmtId="0" fontId="30" fillId="0" borderId="5" xfId="0" applyFont="1" applyBorder="1"/>
    <xf numFmtId="176" fontId="30" fillId="0" borderId="5" xfId="1" applyNumberFormat="1" applyFont="1" applyBorder="1"/>
    <xf numFmtId="0" fontId="33" fillId="0" borderId="5" xfId="0" applyFont="1" applyBorder="1"/>
    <xf numFmtId="166" fontId="44" fillId="0" borderId="5" xfId="1" applyFont="1" applyBorder="1"/>
    <xf numFmtId="166" fontId="30" fillId="2" borderId="0" xfId="0" applyNumberFormat="1" applyFont="1" applyFill="1"/>
    <xf numFmtId="168" fontId="30" fillId="0" borderId="5" xfId="1" applyNumberFormat="1" applyFont="1" applyBorder="1"/>
    <xf numFmtId="0" fontId="53" fillId="0" borderId="0" xfId="0" applyFont="1"/>
    <xf numFmtId="0" fontId="31" fillId="0" borderId="5" xfId="0" applyFont="1" applyBorder="1" applyAlignment="1">
      <alignment horizontal="left"/>
    </xf>
    <xf numFmtId="9" fontId="35" fillId="5" borderId="5" xfId="0" applyNumberFormat="1" applyFont="1" applyFill="1" applyBorder="1" applyAlignment="1">
      <alignment horizontal="right"/>
    </xf>
    <xf numFmtId="9" fontId="36" fillId="2" borderId="0" xfId="0" applyNumberFormat="1" applyFont="1" applyFill="1"/>
    <xf numFmtId="0" fontId="26" fillId="3" borderId="5" xfId="0" applyFont="1" applyFill="1" applyBorder="1" applyAlignment="1">
      <alignment horizontal="left"/>
    </xf>
    <xf numFmtId="166" fontId="26" fillId="3" borderId="5" xfId="1" applyFont="1" applyFill="1" applyBorder="1" applyAlignment="1">
      <alignment horizontal="right"/>
    </xf>
    <xf numFmtId="166" fontId="59" fillId="2" borderId="0" xfId="1" applyFont="1" applyFill="1"/>
    <xf numFmtId="0" fontId="63" fillId="2" borderId="0" xfId="0" applyFont="1" applyFill="1" applyAlignment="1">
      <alignment horizontal="left" vertical="center" wrapText="1"/>
    </xf>
    <xf numFmtId="177" fontId="46" fillId="0" borderId="5" xfId="1" applyNumberFormat="1" applyFont="1" applyBorder="1" applyAlignment="1">
      <alignment horizontal="right"/>
    </xf>
    <xf numFmtId="177" fontId="36" fillId="2" borderId="0" xfId="1" applyNumberFormat="1" applyFont="1" applyFill="1"/>
    <xf numFmtId="0" fontId="64" fillId="2" borderId="0" xfId="0" applyFont="1" applyFill="1" applyAlignment="1">
      <alignment horizontal="right" vertical="center" wrapText="1"/>
    </xf>
    <xf numFmtId="167" fontId="26" fillId="3" borderId="5" xfId="1" applyNumberFormat="1" applyFont="1" applyFill="1" applyBorder="1" applyAlignment="1">
      <alignment horizontal="right"/>
    </xf>
    <xf numFmtId="166" fontId="59" fillId="2" borderId="0" xfId="0" applyNumberFormat="1" applyFont="1" applyFill="1"/>
    <xf numFmtId="10" fontId="31" fillId="0" borderId="5" xfId="0" applyNumberFormat="1" applyFont="1" applyBorder="1" applyAlignment="1">
      <alignment horizontal="right"/>
    </xf>
    <xf numFmtId="169" fontId="31" fillId="2" borderId="0" xfId="0" applyNumberFormat="1" applyFont="1" applyFill="1" applyAlignment="1">
      <alignment horizontal="right"/>
    </xf>
    <xf numFmtId="0" fontId="64" fillId="2" borderId="0" xfId="0" applyFont="1" applyFill="1" applyAlignment="1">
      <alignment horizontal="left" vertical="center" wrapText="1"/>
    </xf>
    <xf numFmtId="3" fontId="64" fillId="2" borderId="0" xfId="0" applyNumberFormat="1" applyFont="1" applyFill="1" applyAlignment="1">
      <alignment horizontal="right" vertical="center" wrapText="1"/>
    </xf>
    <xf numFmtId="0" fontId="64" fillId="2" borderId="0" xfId="0" applyFont="1" applyFill="1" applyAlignment="1">
      <alignment horizontal="left" vertical="center"/>
    </xf>
    <xf numFmtId="0" fontId="65" fillId="3" borderId="5" xfId="0" applyFont="1" applyFill="1" applyBorder="1" applyAlignment="1">
      <alignment horizontal="center"/>
    </xf>
    <xf numFmtId="10" fontId="0" fillId="0" borderId="0" xfId="2" applyNumberFormat="1" applyFont="1"/>
    <xf numFmtId="0" fontId="66" fillId="0" borderId="0" xfId="0" applyFont="1"/>
    <xf numFmtId="166" fontId="66" fillId="0" borderId="0" xfId="1" applyFont="1" applyAlignment="1">
      <alignment horizontal="right"/>
    </xf>
    <xf numFmtId="2" fontId="7" fillId="7" borderId="13" xfId="0" applyNumberFormat="1" applyFont="1" applyFill="1" applyBorder="1" applyAlignment="1">
      <alignment horizontal="right"/>
    </xf>
    <xf numFmtId="9" fontId="7" fillId="7" borderId="13" xfId="0" applyNumberFormat="1" applyFont="1" applyFill="1" applyBorder="1" applyAlignment="1">
      <alignment horizontal="right"/>
    </xf>
    <xf numFmtId="166" fontId="66" fillId="2" borderId="13" xfId="1" applyFont="1" applyFill="1" applyBorder="1" applyAlignment="1">
      <alignment horizontal="right"/>
    </xf>
    <xf numFmtId="166" fontId="68" fillId="5" borderId="13" xfId="1" applyFont="1" applyFill="1" applyBorder="1" applyAlignment="1">
      <alignment horizontal="right"/>
    </xf>
    <xf numFmtId="0" fontId="69" fillId="0" borderId="0" xfId="0" applyFont="1"/>
    <xf numFmtId="0" fontId="70" fillId="0" borderId="0" xfId="0" applyFont="1"/>
    <xf numFmtId="175" fontId="66" fillId="0" borderId="0" xfId="1" applyNumberFormat="1" applyFont="1"/>
    <xf numFmtId="9" fontId="67" fillId="3" borderId="13" xfId="0" applyNumberFormat="1" applyFont="1" applyFill="1" applyBorder="1" applyAlignment="1">
      <alignment horizontal="right"/>
    </xf>
    <xf numFmtId="175" fontId="66" fillId="2" borderId="14" xfId="1" applyNumberFormat="1" applyFont="1" applyFill="1" applyBorder="1" applyAlignment="1">
      <alignment horizontal="right"/>
    </xf>
    <xf numFmtId="0" fontId="71" fillId="0" borderId="0" xfId="0" applyFont="1"/>
    <xf numFmtId="10" fontId="66" fillId="2" borderId="14" xfId="2" applyNumberFormat="1" applyFont="1" applyFill="1" applyBorder="1" applyAlignment="1">
      <alignment horizontal="right"/>
    </xf>
    <xf numFmtId="10" fontId="68" fillId="5" borderId="14" xfId="2" applyNumberFormat="1" applyFont="1" applyFill="1" applyBorder="1" applyAlignment="1">
      <alignment horizontal="right"/>
    </xf>
    <xf numFmtId="0" fontId="72" fillId="0" borderId="0" xfId="0" applyFont="1"/>
    <xf numFmtId="0" fontId="23" fillId="0" borderId="0" xfId="0" applyFont="1"/>
    <xf numFmtId="0" fontId="73" fillId="0" borderId="0" xfId="0" applyFont="1"/>
    <xf numFmtId="0" fontId="60" fillId="0" borderId="0" xfId="0" applyFont="1" applyBorder="1" applyAlignment="1"/>
  </cellXfs>
  <cellStyles count="7">
    <cellStyle name="Comma" xfId="1" builtinId="3"/>
    <cellStyle name="Normal" xfId="0" builtinId="0"/>
    <cellStyle name="Normal 2" xfId="3"/>
    <cellStyle name="Normal 3" xfId="6"/>
    <cellStyle name="Normal 4" xfId="4"/>
    <cellStyle name="Normal 5" xfId="5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6E38"/>
      <rgbColor rgb="FF000080"/>
      <rgbColor rgb="FF808000"/>
      <rgbColor rgb="FF800080"/>
      <rgbColor rgb="FF156082"/>
      <rgbColor rgb="FFBFBFBF"/>
      <rgbColor rgb="FF888888"/>
      <rgbColor rgb="FF9999FF"/>
      <rgbColor rgb="FF993366"/>
      <rgbColor rgb="FFF2F2F2"/>
      <rgbColor rgb="FFDC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275417"/>
      <rgbColor rgb="FF0000FF"/>
      <rgbColor rgb="FF00CCFF"/>
      <rgbColor rgb="FFE8EDF2"/>
      <rgbColor rgb="FFF0F0F0"/>
      <rgbColor rgb="FFFFFF99"/>
      <rgbColor rgb="FF99CCFF"/>
      <rgbColor rgb="FFFF99CC"/>
      <rgbColor rgb="FFCC99FF"/>
      <rgbColor rgb="FFD9D9D9"/>
      <rgbColor rgb="FF3575D5"/>
      <rgbColor rgb="FF1EB1CE"/>
      <rgbColor rgb="FF99CC00"/>
      <rgbColor rgb="FFFFCC00"/>
      <rgbColor rgb="FFC9A227"/>
      <rgbColor rgb="FFFF6600"/>
      <rgbColor rgb="FF555555"/>
      <rgbColor rgb="FFA6A6A6"/>
      <rgbColor rgb="FF0C447C"/>
      <rgbColor rgb="FF339966"/>
      <rgbColor rgb="FF1A1A1A"/>
      <rgbColor rgb="FF2B2B2B"/>
      <rgbColor rgb="FFA32D2D"/>
      <rgbColor rgb="FF993366"/>
      <rgbColor rgb="FF24386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114480</xdr:colOff>
      <xdr:row>13</xdr:row>
      <xdr:rowOff>177840</xdr:rowOff>
    </xdr:from>
    <xdr:to>
      <xdr:col>10</xdr:col>
      <xdr:colOff>1450747</xdr:colOff>
      <xdr:row>24</xdr:row>
      <xdr:rowOff>22319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101600" y="2968560"/>
          <a:ext cx="5593320" cy="194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showGridLines="0" topLeftCell="B13" zoomScaleNormal="100" workbookViewId="0">
      <selection activeCell="C19" sqref="C19"/>
    </sheetView>
  </sheetViews>
  <sheetFormatPr defaultColWidth="11" defaultRowHeight="15"/>
  <cols>
    <col min="1" max="1" width="3" customWidth="1"/>
  </cols>
  <sheetData>
    <row r="1" spans="1:19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9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9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</row>
    <row r="4" spans="1:19" ht="30" customHeight="1">
      <c r="A4" s="12"/>
      <c r="B4" s="11" t="s">
        <v>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9" ht="19.5" customHeight="1">
      <c r="A5" s="12"/>
      <c r="B5" s="10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2"/>
    </row>
    <row r="6" spans="1:19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2"/>
    </row>
    <row r="7" spans="1:19" ht="3" customHeight="1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2"/>
    </row>
    <row r="8" spans="1:19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9">
      <c r="A9" s="12"/>
      <c r="B9" s="9" t="s">
        <v>2</v>
      </c>
      <c r="C9" s="9"/>
      <c r="D9" s="9"/>
      <c r="E9" s="9"/>
      <c r="F9" s="9" t="s">
        <v>3</v>
      </c>
      <c r="G9" s="9"/>
      <c r="H9" s="9"/>
      <c r="I9" s="9"/>
      <c r="J9" s="9" t="s">
        <v>4</v>
      </c>
      <c r="K9" s="9"/>
      <c r="L9" s="9"/>
      <c r="M9" s="9"/>
      <c r="N9" s="12"/>
    </row>
    <row r="10" spans="1:19" ht="15.6">
      <c r="A10" s="12"/>
      <c r="B10" s="8" t="s">
        <v>5</v>
      </c>
      <c r="C10" s="8"/>
      <c r="D10" s="8"/>
      <c r="E10" s="8"/>
      <c r="F10" s="8" t="s">
        <v>6</v>
      </c>
      <c r="G10" s="8"/>
      <c r="H10" s="8"/>
      <c r="I10" s="8"/>
      <c r="J10" s="8" t="s">
        <v>7</v>
      </c>
      <c r="K10" s="8"/>
      <c r="L10" s="8"/>
      <c r="M10" s="8"/>
      <c r="N10" s="12"/>
    </row>
    <row r="11" spans="1:19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9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7.399999999999999">
      <c r="A13" s="12"/>
      <c r="B13" s="7" t="s">
        <v>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2"/>
      <c r="O13" s="12"/>
      <c r="P13" s="12"/>
      <c r="Q13" s="12"/>
      <c r="R13" s="12"/>
      <c r="S13" s="12"/>
    </row>
    <row r="14" spans="1:19" ht="60" customHeight="1">
      <c r="A14" s="12"/>
      <c r="B14" s="12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ht="15.6">
      <c r="A15" s="12"/>
      <c r="B15" s="17" t="s">
        <v>9</v>
      </c>
      <c r="C15" s="6" t="s">
        <v>10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12"/>
      <c r="O15" s="12"/>
      <c r="P15" s="12"/>
      <c r="Q15" s="12"/>
      <c r="R15" s="12"/>
      <c r="S15" s="12"/>
    </row>
    <row r="16" spans="1:19" ht="15.6">
      <c r="A16" s="12"/>
      <c r="B16" s="18" t="s">
        <v>9</v>
      </c>
      <c r="C16" s="6" t="s">
        <v>11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12"/>
      <c r="O16" s="12"/>
      <c r="P16" s="12"/>
      <c r="Q16" s="12"/>
      <c r="R16" s="12"/>
      <c r="S16" s="12"/>
    </row>
    <row r="17" spans="1:19" ht="15.6">
      <c r="A17" s="12"/>
      <c r="B17" s="19" t="s">
        <v>9</v>
      </c>
      <c r="C17" s="6" t="s">
        <v>12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12"/>
      <c r="O17" s="12"/>
      <c r="P17" s="12"/>
      <c r="Q17" s="12"/>
      <c r="R17" s="12"/>
      <c r="S17" s="12"/>
    </row>
    <row r="18" spans="1:19" ht="15.6">
      <c r="A18" s="12"/>
      <c r="B18" s="20" t="s">
        <v>13</v>
      </c>
      <c r="C18" s="6" t="s">
        <v>14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12"/>
      <c r="O18" s="12"/>
      <c r="P18" s="12"/>
      <c r="Q18" s="12"/>
      <c r="R18" s="12"/>
      <c r="S18" s="12"/>
    </row>
    <row r="19" spans="1:19" ht="72.75" customHeight="1">
      <c r="A19" s="12"/>
      <c r="B19" s="12"/>
      <c r="C19" s="2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>
      <c r="A20" s="12"/>
      <c r="B20" s="12"/>
      <c r="C20" s="12"/>
      <c r="D20" s="12"/>
      <c r="E20" s="2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17.399999999999999">
      <c r="A21" s="12"/>
      <c r="B21" s="7" t="s">
        <v>15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2"/>
      <c r="O21" s="12"/>
      <c r="P21" s="12"/>
      <c r="Q21" s="12"/>
      <c r="R21" s="12"/>
      <c r="S21" s="12"/>
    </row>
    <row r="22" spans="1:19" ht="15.6">
      <c r="A22" s="12"/>
      <c r="B22" s="5" t="s">
        <v>16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2"/>
      <c r="O22" s="12"/>
      <c r="P22" s="12"/>
      <c r="Q22" s="12"/>
      <c r="R22" s="12"/>
      <c r="S22" s="12"/>
    </row>
    <row r="23" spans="1:19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15" customHeight="1">
      <c r="A25" s="12"/>
      <c r="B25" s="4" t="s">
        <v>17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2"/>
      <c r="O25" s="12"/>
      <c r="P25" s="12"/>
      <c r="Q25" s="12"/>
      <c r="R25" s="12"/>
      <c r="S25" s="12"/>
    </row>
    <row r="26" spans="1:19">
      <c r="A26" s="1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2"/>
      <c r="O26" s="12"/>
      <c r="P26" s="12"/>
      <c r="Q26" s="12"/>
      <c r="R26" s="12"/>
      <c r="S26" s="12"/>
    </row>
    <row r="27" spans="1:19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9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9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9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</sheetData>
  <mergeCells count="16">
    <mergeCell ref="B25:M26"/>
    <mergeCell ref="C16:M16"/>
    <mergeCell ref="C17:M17"/>
    <mergeCell ref="C18:M18"/>
    <mergeCell ref="B21:M21"/>
    <mergeCell ref="B22:M22"/>
    <mergeCell ref="B10:E10"/>
    <mergeCell ref="F10:I10"/>
    <mergeCell ref="J10:M10"/>
    <mergeCell ref="B13:M13"/>
    <mergeCell ref="C15:M15"/>
    <mergeCell ref="B4:M4"/>
    <mergeCell ref="B5:M5"/>
    <mergeCell ref="B9:E9"/>
    <mergeCell ref="F9:I9"/>
    <mergeCell ref="J9:M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A72"/>
  <sheetViews>
    <sheetView showGridLines="0" zoomScale="75" zoomScaleNormal="75" workbookViewId="0">
      <pane xSplit="12" ySplit="4" topLeftCell="AD5" activePane="bottomRight" state="frozen"/>
      <selection pane="topRight" activeCell="M1" sqref="M1"/>
      <selection pane="bottomLeft" activeCell="A7" sqref="A7"/>
      <selection pane="bottomRight" activeCell="G7" sqref="G7"/>
    </sheetView>
  </sheetViews>
  <sheetFormatPr defaultColWidth="11" defaultRowHeight="15"/>
  <cols>
    <col min="1" max="1" width="27" customWidth="1"/>
    <col min="2" max="2" width="3.1796875" customWidth="1"/>
    <col min="3" max="3" width="2.1796875" customWidth="1"/>
    <col min="4" max="4" width="3.1796875" customWidth="1"/>
    <col min="5" max="5" width="2.1796875" customWidth="1"/>
    <col min="6" max="6" width="9" customWidth="1"/>
    <col min="7" max="8" width="8" customWidth="1"/>
    <col min="9" max="9" width="3.453125" customWidth="1"/>
    <col min="10" max="12" width="2.81640625" customWidth="1"/>
    <col min="13" max="21" width="8" customWidth="1"/>
    <col min="22" max="72" width="9" customWidth="1"/>
    <col min="73" max="73" width="4.81640625" customWidth="1"/>
    <col min="74" max="78" width="9" customWidth="1"/>
  </cols>
  <sheetData>
    <row r="1" spans="1:79" ht="21" customHeight="1">
      <c r="A1" s="23" t="s">
        <v>18</v>
      </c>
      <c r="B1" s="24"/>
      <c r="C1" s="25"/>
      <c r="D1" s="26"/>
      <c r="E1" s="26"/>
      <c r="F1" s="26"/>
      <c r="G1" s="26"/>
      <c r="H1" s="26"/>
      <c r="I1" s="26"/>
      <c r="J1" s="27"/>
      <c r="K1" s="26"/>
      <c r="L1" s="26"/>
      <c r="M1" s="28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1:79" ht="15.75" customHeight="1">
      <c r="A2" s="30" t="s">
        <v>19</v>
      </c>
      <c r="B2" s="30"/>
      <c r="C2" s="25"/>
      <c r="D2" s="26"/>
      <c r="E2" s="26"/>
      <c r="F2" s="26"/>
      <c r="G2" s="26"/>
      <c r="H2" s="26"/>
      <c r="I2" s="26"/>
      <c r="J2" s="27"/>
      <c r="K2" s="26"/>
      <c r="L2" s="26"/>
      <c r="M2" s="3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26"/>
      <c r="BV2" s="3" t="s">
        <v>21</v>
      </c>
      <c r="BW2" s="3"/>
      <c r="BX2" s="3"/>
      <c r="BY2" s="3"/>
      <c r="BZ2" s="3"/>
    </row>
    <row r="3" spans="1:79" ht="15.6">
      <c r="A3" s="31" t="s">
        <v>22</v>
      </c>
      <c r="B3" s="32"/>
      <c r="C3" s="32"/>
      <c r="D3" s="33"/>
      <c r="E3" s="33"/>
      <c r="F3" s="33"/>
      <c r="G3" s="33"/>
      <c r="H3" s="33"/>
      <c r="I3" s="33"/>
      <c r="J3" s="26"/>
      <c r="K3" s="26"/>
      <c r="L3" s="26"/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f>X3+1</f>
        <v>2</v>
      </c>
      <c r="Z3" s="34">
        <f t="shared" ref="Z3:AJ3" si="0">Y3</f>
        <v>2</v>
      </c>
      <c r="AA3" s="34">
        <f t="shared" si="0"/>
        <v>2</v>
      </c>
      <c r="AB3" s="34">
        <f t="shared" si="0"/>
        <v>2</v>
      </c>
      <c r="AC3" s="34">
        <f t="shared" si="0"/>
        <v>2</v>
      </c>
      <c r="AD3" s="34">
        <f t="shared" si="0"/>
        <v>2</v>
      </c>
      <c r="AE3" s="34">
        <f t="shared" si="0"/>
        <v>2</v>
      </c>
      <c r="AF3" s="34">
        <f t="shared" si="0"/>
        <v>2</v>
      </c>
      <c r="AG3" s="34">
        <f t="shared" si="0"/>
        <v>2</v>
      </c>
      <c r="AH3" s="34">
        <f t="shared" si="0"/>
        <v>2</v>
      </c>
      <c r="AI3" s="34">
        <f t="shared" si="0"/>
        <v>2</v>
      </c>
      <c r="AJ3" s="34">
        <f t="shared" si="0"/>
        <v>2</v>
      </c>
      <c r="AK3" s="34">
        <v>3</v>
      </c>
      <c r="AL3" s="34">
        <v>3</v>
      </c>
      <c r="AM3" s="34">
        <v>3</v>
      </c>
      <c r="AN3" s="34">
        <v>3</v>
      </c>
      <c r="AO3" s="34">
        <v>3</v>
      </c>
      <c r="AP3" s="34">
        <v>3</v>
      </c>
      <c r="AQ3" s="34">
        <v>3</v>
      </c>
      <c r="AR3" s="34">
        <v>3</v>
      </c>
      <c r="AS3" s="34">
        <v>3</v>
      </c>
      <c r="AT3" s="34">
        <v>3</v>
      </c>
      <c r="AU3" s="34">
        <v>3</v>
      </c>
      <c r="AV3" s="34">
        <v>3</v>
      </c>
      <c r="AW3" s="34">
        <v>4</v>
      </c>
      <c r="AX3" s="34">
        <v>4</v>
      </c>
      <c r="AY3" s="34">
        <v>4</v>
      </c>
      <c r="AZ3" s="34">
        <v>4</v>
      </c>
      <c r="BA3" s="34">
        <v>4</v>
      </c>
      <c r="BB3" s="34">
        <v>4</v>
      </c>
      <c r="BC3" s="34">
        <v>4</v>
      </c>
      <c r="BD3" s="34">
        <v>4</v>
      </c>
      <c r="BE3" s="34">
        <v>4</v>
      </c>
      <c r="BF3" s="34">
        <v>4</v>
      </c>
      <c r="BG3" s="34">
        <v>4</v>
      </c>
      <c r="BH3" s="34">
        <v>4</v>
      </c>
      <c r="BI3" s="34">
        <v>5</v>
      </c>
      <c r="BJ3" s="34">
        <v>5</v>
      </c>
      <c r="BK3" s="34">
        <v>5</v>
      </c>
      <c r="BL3" s="34">
        <v>5</v>
      </c>
      <c r="BM3" s="34">
        <v>5</v>
      </c>
      <c r="BN3" s="34">
        <v>5</v>
      </c>
      <c r="BO3" s="34">
        <v>5</v>
      </c>
      <c r="BP3" s="34">
        <v>5</v>
      </c>
      <c r="BQ3" s="34">
        <v>5</v>
      </c>
      <c r="BR3" s="34">
        <v>5</v>
      </c>
      <c r="BS3" s="34">
        <v>5</v>
      </c>
      <c r="BT3" s="34">
        <v>5</v>
      </c>
      <c r="BU3" s="35"/>
      <c r="BV3" s="36">
        <v>1</v>
      </c>
      <c r="BW3" s="36">
        <v>2</v>
      </c>
      <c r="BX3" s="36">
        <v>3</v>
      </c>
      <c r="BY3" s="36">
        <v>4</v>
      </c>
      <c r="BZ3" s="36">
        <v>5</v>
      </c>
    </row>
    <row r="4" spans="1:79" ht="15.6">
      <c r="A4" s="37" t="s">
        <v>23</v>
      </c>
      <c r="B4" s="38"/>
      <c r="C4" s="32"/>
      <c r="D4" s="33"/>
      <c r="E4" s="26"/>
      <c r="F4" s="26"/>
      <c r="G4" s="26"/>
      <c r="H4" s="26"/>
      <c r="I4" s="26"/>
      <c r="J4" s="26"/>
      <c r="K4" s="26"/>
      <c r="L4" s="26"/>
      <c r="M4" s="39">
        <v>1</v>
      </c>
      <c r="N4" s="39">
        <f t="shared" ref="N4:X4" si="1">M4+1</f>
        <v>2</v>
      </c>
      <c r="O4" s="39">
        <f t="shared" si="1"/>
        <v>3</v>
      </c>
      <c r="P4" s="39">
        <f t="shared" si="1"/>
        <v>4</v>
      </c>
      <c r="Q4" s="39">
        <f t="shared" si="1"/>
        <v>5</v>
      </c>
      <c r="R4" s="39">
        <f t="shared" si="1"/>
        <v>6</v>
      </c>
      <c r="S4" s="39">
        <f t="shared" si="1"/>
        <v>7</v>
      </c>
      <c r="T4" s="39">
        <f t="shared" si="1"/>
        <v>8</v>
      </c>
      <c r="U4" s="39">
        <f t="shared" si="1"/>
        <v>9</v>
      </c>
      <c r="V4" s="39">
        <f t="shared" si="1"/>
        <v>10</v>
      </c>
      <c r="W4" s="39">
        <f t="shared" si="1"/>
        <v>11</v>
      </c>
      <c r="X4" s="39">
        <f t="shared" si="1"/>
        <v>12</v>
      </c>
      <c r="Y4" s="39">
        <f>X4+1</f>
        <v>13</v>
      </c>
      <c r="Z4" s="39">
        <f t="shared" ref="Z4:BT4" si="2">Y4+1</f>
        <v>14</v>
      </c>
      <c r="AA4" s="39">
        <f t="shared" si="2"/>
        <v>15</v>
      </c>
      <c r="AB4" s="39">
        <f t="shared" si="2"/>
        <v>16</v>
      </c>
      <c r="AC4" s="39">
        <f t="shared" si="2"/>
        <v>17</v>
      </c>
      <c r="AD4" s="39">
        <f t="shared" si="2"/>
        <v>18</v>
      </c>
      <c r="AE4" s="39">
        <f t="shared" si="2"/>
        <v>19</v>
      </c>
      <c r="AF4" s="39">
        <f t="shared" si="2"/>
        <v>20</v>
      </c>
      <c r="AG4" s="39">
        <f t="shared" si="2"/>
        <v>21</v>
      </c>
      <c r="AH4" s="39">
        <f t="shared" si="2"/>
        <v>22</v>
      </c>
      <c r="AI4" s="39">
        <f t="shared" si="2"/>
        <v>23</v>
      </c>
      <c r="AJ4" s="39">
        <f t="shared" si="2"/>
        <v>24</v>
      </c>
      <c r="AK4" s="39">
        <f t="shared" si="2"/>
        <v>25</v>
      </c>
      <c r="AL4" s="39">
        <f t="shared" si="2"/>
        <v>26</v>
      </c>
      <c r="AM4" s="39">
        <f t="shared" si="2"/>
        <v>27</v>
      </c>
      <c r="AN4" s="39">
        <f t="shared" si="2"/>
        <v>28</v>
      </c>
      <c r="AO4" s="39">
        <f t="shared" si="2"/>
        <v>29</v>
      </c>
      <c r="AP4" s="39">
        <f t="shared" si="2"/>
        <v>30</v>
      </c>
      <c r="AQ4" s="39">
        <f t="shared" si="2"/>
        <v>31</v>
      </c>
      <c r="AR4" s="39">
        <f t="shared" si="2"/>
        <v>32</v>
      </c>
      <c r="AS4" s="39">
        <f t="shared" si="2"/>
        <v>33</v>
      </c>
      <c r="AT4" s="39">
        <f t="shared" si="2"/>
        <v>34</v>
      </c>
      <c r="AU4" s="39">
        <f t="shared" si="2"/>
        <v>35</v>
      </c>
      <c r="AV4" s="39">
        <f t="shared" si="2"/>
        <v>36</v>
      </c>
      <c r="AW4" s="39">
        <f t="shared" si="2"/>
        <v>37</v>
      </c>
      <c r="AX4" s="39">
        <f t="shared" si="2"/>
        <v>38</v>
      </c>
      <c r="AY4" s="39">
        <f t="shared" si="2"/>
        <v>39</v>
      </c>
      <c r="AZ4" s="39">
        <f t="shared" si="2"/>
        <v>40</v>
      </c>
      <c r="BA4" s="39">
        <f t="shared" si="2"/>
        <v>41</v>
      </c>
      <c r="BB4" s="39">
        <f t="shared" si="2"/>
        <v>42</v>
      </c>
      <c r="BC4" s="39">
        <f t="shared" si="2"/>
        <v>43</v>
      </c>
      <c r="BD4" s="39">
        <f t="shared" si="2"/>
        <v>44</v>
      </c>
      <c r="BE4" s="39">
        <f t="shared" si="2"/>
        <v>45</v>
      </c>
      <c r="BF4" s="39">
        <f t="shared" si="2"/>
        <v>46</v>
      </c>
      <c r="BG4" s="39">
        <f t="shared" si="2"/>
        <v>47</v>
      </c>
      <c r="BH4" s="39">
        <f t="shared" si="2"/>
        <v>48</v>
      </c>
      <c r="BI4" s="39">
        <f t="shared" si="2"/>
        <v>49</v>
      </c>
      <c r="BJ4" s="39">
        <f t="shared" si="2"/>
        <v>50</v>
      </c>
      <c r="BK4" s="39">
        <f t="shared" si="2"/>
        <v>51</v>
      </c>
      <c r="BL4" s="39">
        <f t="shared" si="2"/>
        <v>52</v>
      </c>
      <c r="BM4" s="39">
        <f t="shared" si="2"/>
        <v>53</v>
      </c>
      <c r="BN4" s="39">
        <f t="shared" si="2"/>
        <v>54</v>
      </c>
      <c r="BO4" s="39">
        <f t="shared" si="2"/>
        <v>55</v>
      </c>
      <c r="BP4" s="39">
        <f t="shared" si="2"/>
        <v>56</v>
      </c>
      <c r="BQ4" s="39">
        <f t="shared" si="2"/>
        <v>57</v>
      </c>
      <c r="BR4" s="39">
        <f t="shared" si="2"/>
        <v>58</v>
      </c>
      <c r="BS4" s="39">
        <f t="shared" si="2"/>
        <v>59</v>
      </c>
      <c r="BT4" s="39">
        <f t="shared" si="2"/>
        <v>60</v>
      </c>
      <c r="BU4" s="40"/>
      <c r="BV4" s="39">
        <v>12</v>
      </c>
      <c r="BW4" s="39">
        <v>24</v>
      </c>
      <c r="BX4" s="39">
        <v>36</v>
      </c>
      <c r="BY4" s="39">
        <v>48</v>
      </c>
      <c r="BZ4" s="39">
        <v>60</v>
      </c>
    </row>
    <row r="5" spans="1:79" ht="15.6">
      <c r="A5" s="41" t="s">
        <v>24</v>
      </c>
      <c r="B5" s="42"/>
      <c r="C5" s="43"/>
      <c r="D5" s="44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</row>
    <row r="6" spans="1:79" ht="15.6">
      <c r="A6" s="37" t="s">
        <v>25</v>
      </c>
      <c r="B6" s="38"/>
      <c r="C6" s="32"/>
      <c r="D6" s="33"/>
      <c r="E6" s="26"/>
      <c r="F6" s="26"/>
      <c r="G6" s="26" t="s">
        <v>26</v>
      </c>
      <c r="H6" s="26"/>
      <c r="I6" s="26"/>
      <c r="J6" s="26"/>
      <c r="K6" s="26"/>
      <c r="L6" s="26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0"/>
      <c r="BV6" s="45"/>
      <c r="BW6" s="45"/>
      <c r="BX6" s="45"/>
      <c r="BY6" s="45"/>
      <c r="BZ6" s="45"/>
      <c r="CA6" s="12"/>
    </row>
    <row r="7" spans="1:79" ht="15.6">
      <c r="A7" s="37" t="s">
        <v>27</v>
      </c>
      <c r="B7" s="38"/>
      <c r="C7" s="32"/>
      <c r="D7" s="33"/>
      <c r="E7" s="26"/>
      <c r="F7" s="46" t="s">
        <v>28</v>
      </c>
      <c r="G7" s="26">
        <v>85.17</v>
      </c>
      <c r="H7" s="26"/>
      <c r="I7" s="26"/>
      <c r="J7" s="26"/>
      <c r="K7" s="26"/>
      <c r="L7" s="26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0"/>
      <c r="BV7" s="45"/>
      <c r="BW7" s="45"/>
      <c r="BX7" s="45"/>
      <c r="BY7" s="45"/>
      <c r="BZ7" s="45"/>
      <c r="CA7" s="12"/>
    </row>
    <row r="8" spans="1:79" ht="15.6">
      <c r="A8" s="41" t="s">
        <v>29</v>
      </c>
      <c r="B8" s="42"/>
      <c r="C8" s="43"/>
      <c r="D8" s="44"/>
      <c r="E8" s="40"/>
      <c r="F8" s="40"/>
      <c r="G8" s="40"/>
      <c r="H8" s="40"/>
      <c r="I8" s="40"/>
      <c r="J8" s="40"/>
      <c r="K8" s="40"/>
      <c r="L8" s="40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0"/>
      <c r="BV8" s="47"/>
      <c r="BW8" s="47"/>
      <c r="BX8" s="47"/>
      <c r="BY8" s="47"/>
      <c r="BZ8" s="47"/>
    </row>
    <row r="9" spans="1:79" ht="15.6">
      <c r="A9" s="48" t="s">
        <v>30</v>
      </c>
      <c r="B9" s="49"/>
      <c r="C9" s="50"/>
      <c r="D9" s="51"/>
      <c r="E9" s="52"/>
      <c r="F9" s="52"/>
      <c r="G9" s="53">
        <v>1</v>
      </c>
      <c r="H9" s="52"/>
      <c r="I9" s="52"/>
      <c r="J9" s="52"/>
      <c r="K9" s="52"/>
      <c r="L9" s="52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40"/>
      <c r="BV9" s="54"/>
      <c r="BW9" s="54"/>
      <c r="BX9" s="54"/>
      <c r="BY9" s="54"/>
      <c r="BZ9" s="54"/>
    </row>
    <row r="10" spans="1:79" ht="15.6">
      <c r="A10" s="48" t="s">
        <v>31</v>
      </c>
      <c r="B10" s="55"/>
      <c r="C10" s="50"/>
      <c r="D10" s="51"/>
      <c r="E10" s="52"/>
      <c r="F10" s="52"/>
      <c r="G10" s="52"/>
      <c r="H10" s="52"/>
      <c r="I10" s="52"/>
      <c r="J10" s="52"/>
      <c r="K10" s="52"/>
      <c r="L10" s="52"/>
      <c r="M10" s="56">
        <v>0</v>
      </c>
      <c r="N10" s="56">
        <v>0</v>
      </c>
      <c r="O10" s="57">
        <v>1</v>
      </c>
      <c r="P10" s="56">
        <v>0</v>
      </c>
      <c r="Q10" s="56">
        <v>0</v>
      </c>
      <c r="R10" s="57">
        <v>1</v>
      </c>
      <c r="S10" s="56">
        <v>0</v>
      </c>
      <c r="T10" s="56">
        <v>0</v>
      </c>
      <c r="U10" s="57">
        <v>1</v>
      </c>
      <c r="V10" s="56">
        <v>0</v>
      </c>
      <c r="W10" s="56">
        <v>0</v>
      </c>
      <c r="X10" s="57">
        <v>1</v>
      </c>
      <c r="Y10" s="56">
        <v>0</v>
      </c>
      <c r="Z10" s="56">
        <v>0</v>
      </c>
      <c r="AA10" s="57">
        <v>1</v>
      </c>
      <c r="AB10" s="56">
        <v>0</v>
      </c>
      <c r="AC10" s="56">
        <v>0</v>
      </c>
      <c r="AD10" s="57">
        <v>1</v>
      </c>
      <c r="AE10" s="56">
        <v>0</v>
      </c>
      <c r="AF10" s="56">
        <v>0</v>
      </c>
      <c r="AG10" s="57">
        <v>1</v>
      </c>
      <c r="AH10" s="56">
        <v>0</v>
      </c>
      <c r="AI10" s="56">
        <v>0</v>
      </c>
      <c r="AJ10" s="57">
        <v>1</v>
      </c>
      <c r="AK10" s="56">
        <v>0</v>
      </c>
      <c r="AL10" s="56">
        <v>0</v>
      </c>
      <c r="AM10" s="56">
        <v>0</v>
      </c>
      <c r="AN10" s="56">
        <v>0</v>
      </c>
      <c r="AO10" s="56">
        <v>0</v>
      </c>
      <c r="AP10" s="57">
        <v>1</v>
      </c>
      <c r="AQ10" s="56">
        <v>0</v>
      </c>
      <c r="AR10" s="56">
        <v>0</v>
      </c>
      <c r="AS10" s="56">
        <v>0</v>
      </c>
      <c r="AT10" s="56">
        <v>0</v>
      </c>
      <c r="AU10" s="56">
        <v>0</v>
      </c>
      <c r="AV10" s="57">
        <v>1</v>
      </c>
      <c r="AW10" s="56">
        <v>0</v>
      </c>
      <c r="AX10" s="56">
        <v>0</v>
      </c>
      <c r="AY10" s="56">
        <v>0</v>
      </c>
      <c r="AZ10" s="57">
        <v>1</v>
      </c>
      <c r="BA10" s="56">
        <v>0</v>
      </c>
      <c r="BB10" s="56">
        <v>0</v>
      </c>
      <c r="BC10" s="56">
        <v>0</v>
      </c>
      <c r="BD10" s="57">
        <v>1</v>
      </c>
      <c r="BE10" s="56">
        <v>0</v>
      </c>
      <c r="BF10" s="56">
        <v>0</v>
      </c>
      <c r="BG10" s="56">
        <v>0</v>
      </c>
      <c r="BH10" s="57">
        <v>1</v>
      </c>
      <c r="BI10" s="56">
        <v>0</v>
      </c>
      <c r="BJ10" s="57">
        <v>1</v>
      </c>
      <c r="BK10" s="56">
        <v>0</v>
      </c>
      <c r="BL10" s="57">
        <v>1</v>
      </c>
      <c r="BM10" s="56">
        <v>0</v>
      </c>
      <c r="BN10" s="57">
        <v>1</v>
      </c>
      <c r="BO10" s="56">
        <v>0</v>
      </c>
      <c r="BP10" s="57">
        <v>1</v>
      </c>
      <c r="BQ10" s="56">
        <v>0</v>
      </c>
      <c r="BR10" s="57">
        <v>1</v>
      </c>
      <c r="BS10" s="56">
        <v>0</v>
      </c>
      <c r="BT10" s="57">
        <v>1</v>
      </c>
      <c r="BU10" s="40"/>
      <c r="BV10" s="58">
        <f>SUMIF($M$3:$BT$3,BV$3,$M10:$BT10)</f>
        <v>4</v>
      </c>
      <c r="BW10" s="58">
        <f>SUMIF($M$3:$BT$3,BW$3,$M10:$BT10)</f>
        <v>4</v>
      </c>
      <c r="BX10" s="58">
        <f>SUMIF($M$3:$BT$3,BX$3,$M10:$BT10)</f>
        <v>2</v>
      </c>
      <c r="BY10" s="58">
        <f>SUMIF($M$3:$BT$3,BY$3,$M10:$BT10)</f>
        <v>3</v>
      </c>
      <c r="BZ10" s="58">
        <f>SUMIF($M$3:$BT$3,BZ$3,$M10:$BT10)</f>
        <v>6</v>
      </c>
    </row>
    <row r="11" spans="1:79" ht="15.6">
      <c r="A11" t="s">
        <v>32</v>
      </c>
      <c r="B11" s="59"/>
      <c r="F11" s="60" t="s">
        <v>26</v>
      </c>
      <c r="G11" s="61">
        <v>75000</v>
      </c>
      <c r="H11" s="61">
        <f>G11</f>
        <v>75000</v>
      </c>
      <c r="I11" s="62"/>
      <c r="M11" s="63">
        <f>G11</f>
        <v>75000</v>
      </c>
      <c r="N11" s="63">
        <f t="shared" ref="N11:AS11" si="3">M11+($H11-$G11)/COUNT($N$4:$BT$4)</f>
        <v>75000</v>
      </c>
      <c r="O11" s="63">
        <f t="shared" si="3"/>
        <v>75000</v>
      </c>
      <c r="P11" s="63">
        <f t="shared" si="3"/>
        <v>75000</v>
      </c>
      <c r="Q11" s="63">
        <f t="shared" si="3"/>
        <v>75000</v>
      </c>
      <c r="R11" s="63">
        <f t="shared" si="3"/>
        <v>75000</v>
      </c>
      <c r="S11" s="63">
        <f t="shared" si="3"/>
        <v>75000</v>
      </c>
      <c r="T11" s="63">
        <f t="shared" si="3"/>
        <v>75000</v>
      </c>
      <c r="U11" s="63">
        <f t="shared" si="3"/>
        <v>75000</v>
      </c>
      <c r="V11" s="63">
        <f t="shared" si="3"/>
        <v>75000</v>
      </c>
      <c r="W11" s="63">
        <f t="shared" si="3"/>
        <v>75000</v>
      </c>
      <c r="X11" s="63">
        <f t="shared" si="3"/>
        <v>75000</v>
      </c>
      <c r="Y11" s="63">
        <f t="shared" si="3"/>
        <v>75000</v>
      </c>
      <c r="Z11" s="63">
        <f t="shared" si="3"/>
        <v>75000</v>
      </c>
      <c r="AA11" s="63">
        <f t="shared" si="3"/>
        <v>75000</v>
      </c>
      <c r="AB11" s="63">
        <f t="shared" si="3"/>
        <v>75000</v>
      </c>
      <c r="AC11" s="63">
        <f t="shared" si="3"/>
        <v>75000</v>
      </c>
      <c r="AD11" s="63">
        <f t="shared" si="3"/>
        <v>75000</v>
      </c>
      <c r="AE11" s="63">
        <f t="shared" si="3"/>
        <v>75000</v>
      </c>
      <c r="AF11" s="63">
        <f t="shared" si="3"/>
        <v>75000</v>
      </c>
      <c r="AG11" s="63">
        <f t="shared" si="3"/>
        <v>75000</v>
      </c>
      <c r="AH11" s="63">
        <f t="shared" si="3"/>
        <v>75000</v>
      </c>
      <c r="AI11" s="63">
        <f t="shared" si="3"/>
        <v>75000</v>
      </c>
      <c r="AJ11" s="63">
        <f t="shared" si="3"/>
        <v>75000</v>
      </c>
      <c r="AK11" s="63">
        <f t="shared" si="3"/>
        <v>75000</v>
      </c>
      <c r="AL11" s="63">
        <f t="shared" si="3"/>
        <v>75000</v>
      </c>
      <c r="AM11" s="63">
        <f t="shared" si="3"/>
        <v>75000</v>
      </c>
      <c r="AN11" s="63">
        <f t="shared" si="3"/>
        <v>75000</v>
      </c>
      <c r="AO11" s="63">
        <f t="shared" si="3"/>
        <v>75000</v>
      </c>
      <c r="AP11" s="63">
        <f t="shared" si="3"/>
        <v>75000</v>
      </c>
      <c r="AQ11" s="63">
        <f t="shared" si="3"/>
        <v>75000</v>
      </c>
      <c r="AR11" s="63">
        <f t="shared" si="3"/>
        <v>75000</v>
      </c>
      <c r="AS11" s="63">
        <f t="shared" si="3"/>
        <v>75000</v>
      </c>
      <c r="AT11" s="63">
        <f t="shared" ref="AT11:BT11" si="4">AS11+($H11-$G11)/COUNT($N$4:$BT$4)</f>
        <v>75000</v>
      </c>
      <c r="AU11" s="63">
        <f t="shared" si="4"/>
        <v>75000</v>
      </c>
      <c r="AV11" s="63">
        <f t="shared" si="4"/>
        <v>75000</v>
      </c>
      <c r="AW11" s="63">
        <f t="shared" si="4"/>
        <v>75000</v>
      </c>
      <c r="AX11" s="63">
        <f t="shared" si="4"/>
        <v>75000</v>
      </c>
      <c r="AY11" s="63">
        <f t="shared" si="4"/>
        <v>75000</v>
      </c>
      <c r="AZ11" s="63">
        <f t="shared" si="4"/>
        <v>75000</v>
      </c>
      <c r="BA11" s="63">
        <f t="shared" si="4"/>
        <v>75000</v>
      </c>
      <c r="BB11" s="63">
        <f t="shared" si="4"/>
        <v>75000</v>
      </c>
      <c r="BC11" s="63">
        <f t="shared" si="4"/>
        <v>75000</v>
      </c>
      <c r="BD11" s="63">
        <f t="shared" si="4"/>
        <v>75000</v>
      </c>
      <c r="BE11" s="63">
        <f t="shared" si="4"/>
        <v>75000</v>
      </c>
      <c r="BF11" s="63">
        <f t="shared" si="4"/>
        <v>75000</v>
      </c>
      <c r="BG11" s="63">
        <f t="shared" si="4"/>
        <v>75000</v>
      </c>
      <c r="BH11" s="63">
        <f t="shared" si="4"/>
        <v>75000</v>
      </c>
      <c r="BI11" s="63">
        <f t="shared" si="4"/>
        <v>75000</v>
      </c>
      <c r="BJ11" s="63">
        <f t="shared" si="4"/>
        <v>75000</v>
      </c>
      <c r="BK11" s="63">
        <f t="shared" si="4"/>
        <v>75000</v>
      </c>
      <c r="BL11" s="63">
        <f t="shared" si="4"/>
        <v>75000</v>
      </c>
      <c r="BM11" s="63">
        <f t="shared" si="4"/>
        <v>75000</v>
      </c>
      <c r="BN11" s="63">
        <f t="shared" si="4"/>
        <v>75000</v>
      </c>
      <c r="BO11" s="63">
        <f t="shared" si="4"/>
        <v>75000</v>
      </c>
      <c r="BP11" s="63">
        <f t="shared" si="4"/>
        <v>75000</v>
      </c>
      <c r="BQ11" s="63">
        <f t="shared" si="4"/>
        <v>75000</v>
      </c>
      <c r="BR11" s="63">
        <f t="shared" si="4"/>
        <v>75000</v>
      </c>
      <c r="BS11" s="63">
        <f t="shared" si="4"/>
        <v>75000</v>
      </c>
      <c r="BT11" s="63">
        <f t="shared" si="4"/>
        <v>75000</v>
      </c>
      <c r="BU11" s="40"/>
    </row>
    <row r="12" spans="1:79" ht="15.6">
      <c r="A12" t="s">
        <v>33</v>
      </c>
      <c r="B12" s="59"/>
      <c r="F12" s="60" t="s">
        <v>23</v>
      </c>
      <c r="G12" s="64">
        <v>12</v>
      </c>
      <c r="H12" s="64">
        <v>12</v>
      </c>
      <c r="I12" s="65"/>
      <c r="M12" s="66">
        <f>G12</f>
        <v>12</v>
      </c>
      <c r="N12" s="66">
        <f t="shared" ref="N12:AS12" si="5">M12+($H12-$G12)/COUNT($N$4:$BT$4)</f>
        <v>12</v>
      </c>
      <c r="O12" s="66">
        <f t="shared" si="5"/>
        <v>12</v>
      </c>
      <c r="P12" s="66">
        <f t="shared" si="5"/>
        <v>12</v>
      </c>
      <c r="Q12" s="66">
        <f t="shared" si="5"/>
        <v>12</v>
      </c>
      <c r="R12" s="66">
        <f t="shared" si="5"/>
        <v>12</v>
      </c>
      <c r="S12" s="66">
        <f t="shared" si="5"/>
        <v>12</v>
      </c>
      <c r="T12" s="66">
        <f t="shared" si="5"/>
        <v>12</v>
      </c>
      <c r="U12" s="66">
        <f t="shared" si="5"/>
        <v>12</v>
      </c>
      <c r="V12" s="66">
        <f t="shared" si="5"/>
        <v>12</v>
      </c>
      <c r="W12" s="66">
        <f t="shared" si="5"/>
        <v>12</v>
      </c>
      <c r="X12" s="66">
        <f t="shared" si="5"/>
        <v>12</v>
      </c>
      <c r="Y12" s="66">
        <f t="shared" si="5"/>
        <v>12</v>
      </c>
      <c r="Z12" s="66">
        <f t="shared" si="5"/>
        <v>12</v>
      </c>
      <c r="AA12" s="66">
        <f t="shared" si="5"/>
        <v>12</v>
      </c>
      <c r="AB12" s="66">
        <f t="shared" si="5"/>
        <v>12</v>
      </c>
      <c r="AC12" s="66">
        <f t="shared" si="5"/>
        <v>12</v>
      </c>
      <c r="AD12" s="66">
        <f t="shared" si="5"/>
        <v>12</v>
      </c>
      <c r="AE12" s="66">
        <f t="shared" si="5"/>
        <v>12</v>
      </c>
      <c r="AF12" s="66">
        <f t="shared" si="5"/>
        <v>12</v>
      </c>
      <c r="AG12" s="66">
        <f t="shared" si="5"/>
        <v>12</v>
      </c>
      <c r="AH12" s="66">
        <f t="shared" si="5"/>
        <v>12</v>
      </c>
      <c r="AI12" s="66">
        <f t="shared" si="5"/>
        <v>12</v>
      </c>
      <c r="AJ12" s="66">
        <f t="shared" si="5"/>
        <v>12</v>
      </c>
      <c r="AK12" s="66">
        <f t="shared" si="5"/>
        <v>12</v>
      </c>
      <c r="AL12" s="66">
        <f t="shared" si="5"/>
        <v>12</v>
      </c>
      <c r="AM12" s="66">
        <f t="shared" si="5"/>
        <v>12</v>
      </c>
      <c r="AN12" s="66">
        <f t="shared" si="5"/>
        <v>12</v>
      </c>
      <c r="AO12" s="66">
        <f t="shared" si="5"/>
        <v>12</v>
      </c>
      <c r="AP12" s="66">
        <f t="shared" si="5"/>
        <v>12</v>
      </c>
      <c r="AQ12" s="66">
        <f t="shared" si="5"/>
        <v>12</v>
      </c>
      <c r="AR12" s="66">
        <f t="shared" si="5"/>
        <v>12</v>
      </c>
      <c r="AS12" s="66">
        <f t="shared" si="5"/>
        <v>12</v>
      </c>
      <c r="AT12" s="66">
        <f t="shared" ref="AT12:BT12" si="6">AS12+($H12-$G12)/COUNT($N$4:$BT$4)</f>
        <v>12</v>
      </c>
      <c r="AU12" s="66">
        <f t="shared" si="6"/>
        <v>12</v>
      </c>
      <c r="AV12" s="66">
        <f t="shared" si="6"/>
        <v>12</v>
      </c>
      <c r="AW12" s="66">
        <f t="shared" si="6"/>
        <v>12</v>
      </c>
      <c r="AX12" s="66">
        <f t="shared" si="6"/>
        <v>12</v>
      </c>
      <c r="AY12" s="66">
        <f t="shared" si="6"/>
        <v>12</v>
      </c>
      <c r="AZ12" s="66">
        <f t="shared" si="6"/>
        <v>12</v>
      </c>
      <c r="BA12" s="66">
        <f t="shared" si="6"/>
        <v>12</v>
      </c>
      <c r="BB12" s="66">
        <f t="shared" si="6"/>
        <v>12</v>
      </c>
      <c r="BC12" s="66">
        <f t="shared" si="6"/>
        <v>12</v>
      </c>
      <c r="BD12" s="66">
        <f t="shared" si="6"/>
        <v>12</v>
      </c>
      <c r="BE12" s="66">
        <f t="shared" si="6"/>
        <v>12</v>
      </c>
      <c r="BF12" s="66">
        <f t="shared" si="6"/>
        <v>12</v>
      </c>
      <c r="BG12" s="66">
        <f t="shared" si="6"/>
        <v>12</v>
      </c>
      <c r="BH12" s="66">
        <f t="shared" si="6"/>
        <v>12</v>
      </c>
      <c r="BI12" s="66">
        <f t="shared" si="6"/>
        <v>12</v>
      </c>
      <c r="BJ12" s="66">
        <f t="shared" si="6"/>
        <v>12</v>
      </c>
      <c r="BK12" s="66">
        <f t="shared" si="6"/>
        <v>12</v>
      </c>
      <c r="BL12" s="66">
        <f t="shared" si="6"/>
        <v>12</v>
      </c>
      <c r="BM12" s="66">
        <f t="shared" si="6"/>
        <v>12</v>
      </c>
      <c r="BN12" s="66">
        <f t="shared" si="6"/>
        <v>12</v>
      </c>
      <c r="BO12" s="66">
        <f t="shared" si="6"/>
        <v>12</v>
      </c>
      <c r="BP12" s="66">
        <f t="shared" si="6"/>
        <v>12</v>
      </c>
      <c r="BQ12" s="66">
        <f t="shared" si="6"/>
        <v>12</v>
      </c>
      <c r="BR12" s="66">
        <f t="shared" si="6"/>
        <v>12</v>
      </c>
      <c r="BS12" s="66">
        <f t="shared" si="6"/>
        <v>12</v>
      </c>
      <c r="BT12" s="66">
        <f t="shared" si="6"/>
        <v>12</v>
      </c>
      <c r="BU12" s="40"/>
    </row>
    <row r="13" spans="1:79" ht="15.6">
      <c r="A13" s="67" t="s">
        <v>34</v>
      </c>
      <c r="B13" s="59"/>
      <c r="F13" s="59"/>
      <c r="I13" s="59"/>
      <c r="BU13" s="40"/>
    </row>
    <row r="14" spans="1:79" ht="15.6">
      <c r="A14" t="s">
        <v>35</v>
      </c>
      <c r="B14" s="59"/>
      <c r="F14" s="60" t="s">
        <v>36</v>
      </c>
      <c r="G14" s="68">
        <v>0.1</v>
      </c>
      <c r="H14" s="68">
        <v>0.1</v>
      </c>
      <c r="I14" s="59"/>
      <c r="M14" s="69">
        <f>G14</f>
        <v>0.1</v>
      </c>
      <c r="N14" s="69">
        <f t="shared" ref="N14:AS14" si="7">M14+($H14-$G14)/COUNT($N$4:$BT$4)</f>
        <v>0.1</v>
      </c>
      <c r="O14" s="69">
        <f t="shared" si="7"/>
        <v>0.1</v>
      </c>
      <c r="P14" s="69">
        <f t="shared" si="7"/>
        <v>0.1</v>
      </c>
      <c r="Q14" s="69">
        <f t="shared" si="7"/>
        <v>0.1</v>
      </c>
      <c r="R14" s="69">
        <f t="shared" si="7"/>
        <v>0.1</v>
      </c>
      <c r="S14" s="69">
        <f t="shared" si="7"/>
        <v>0.1</v>
      </c>
      <c r="T14" s="69">
        <f t="shared" si="7"/>
        <v>0.1</v>
      </c>
      <c r="U14" s="69">
        <f t="shared" si="7"/>
        <v>0.1</v>
      </c>
      <c r="V14" s="69">
        <f t="shared" si="7"/>
        <v>0.1</v>
      </c>
      <c r="W14" s="69">
        <f t="shared" si="7"/>
        <v>0.1</v>
      </c>
      <c r="X14" s="69">
        <f t="shared" si="7"/>
        <v>0.1</v>
      </c>
      <c r="Y14" s="69">
        <f t="shared" si="7"/>
        <v>0.1</v>
      </c>
      <c r="Z14" s="69">
        <f t="shared" si="7"/>
        <v>0.1</v>
      </c>
      <c r="AA14" s="69">
        <f t="shared" si="7"/>
        <v>0.1</v>
      </c>
      <c r="AB14" s="69">
        <f t="shared" si="7"/>
        <v>0.1</v>
      </c>
      <c r="AC14" s="69">
        <f t="shared" si="7"/>
        <v>0.1</v>
      </c>
      <c r="AD14" s="69">
        <f t="shared" si="7"/>
        <v>0.1</v>
      </c>
      <c r="AE14" s="69">
        <f t="shared" si="7"/>
        <v>0.1</v>
      </c>
      <c r="AF14" s="69">
        <f t="shared" si="7"/>
        <v>0.1</v>
      </c>
      <c r="AG14" s="69">
        <f t="shared" si="7"/>
        <v>0.1</v>
      </c>
      <c r="AH14" s="69">
        <f t="shared" si="7"/>
        <v>0.1</v>
      </c>
      <c r="AI14" s="69">
        <f t="shared" si="7"/>
        <v>0.1</v>
      </c>
      <c r="AJ14" s="69">
        <f t="shared" si="7"/>
        <v>0.1</v>
      </c>
      <c r="AK14" s="69">
        <f t="shared" si="7"/>
        <v>0.1</v>
      </c>
      <c r="AL14" s="69">
        <f t="shared" si="7"/>
        <v>0.1</v>
      </c>
      <c r="AM14" s="69">
        <f t="shared" si="7"/>
        <v>0.1</v>
      </c>
      <c r="AN14" s="69">
        <f t="shared" si="7"/>
        <v>0.1</v>
      </c>
      <c r="AO14" s="69">
        <f t="shared" si="7"/>
        <v>0.1</v>
      </c>
      <c r="AP14" s="69">
        <f t="shared" si="7"/>
        <v>0.1</v>
      </c>
      <c r="AQ14" s="69">
        <f t="shared" si="7"/>
        <v>0.1</v>
      </c>
      <c r="AR14" s="69">
        <f t="shared" si="7"/>
        <v>0.1</v>
      </c>
      <c r="AS14" s="69">
        <f t="shared" si="7"/>
        <v>0.1</v>
      </c>
      <c r="AT14" s="69">
        <f t="shared" ref="AT14:BT14" si="8">AS14+($H14-$G14)/COUNT($N$4:$BT$4)</f>
        <v>0.1</v>
      </c>
      <c r="AU14" s="69">
        <f t="shared" si="8"/>
        <v>0.1</v>
      </c>
      <c r="AV14" s="69">
        <f t="shared" si="8"/>
        <v>0.1</v>
      </c>
      <c r="AW14" s="69">
        <f t="shared" si="8"/>
        <v>0.1</v>
      </c>
      <c r="AX14" s="69">
        <f t="shared" si="8"/>
        <v>0.1</v>
      </c>
      <c r="AY14" s="69">
        <f t="shared" si="8"/>
        <v>0.1</v>
      </c>
      <c r="AZ14" s="69">
        <f t="shared" si="8"/>
        <v>0.1</v>
      </c>
      <c r="BA14" s="69">
        <f t="shared" si="8"/>
        <v>0.1</v>
      </c>
      <c r="BB14" s="69">
        <f t="shared" si="8"/>
        <v>0.1</v>
      </c>
      <c r="BC14" s="69">
        <f t="shared" si="8"/>
        <v>0.1</v>
      </c>
      <c r="BD14" s="69">
        <f t="shared" si="8"/>
        <v>0.1</v>
      </c>
      <c r="BE14" s="69">
        <f t="shared" si="8"/>
        <v>0.1</v>
      </c>
      <c r="BF14" s="69">
        <f t="shared" si="8"/>
        <v>0.1</v>
      </c>
      <c r="BG14" s="69">
        <f t="shared" si="8"/>
        <v>0.1</v>
      </c>
      <c r="BH14" s="69">
        <f t="shared" si="8"/>
        <v>0.1</v>
      </c>
      <c r="BI14" s="69">
        <f t="shared" si="8"/>
        <v>0.1</v>
      </c>
      <c r="BJ14" s="69">
        <f t="shared" si="8"/>
        <v>0.1</v>
      </c>
      <c r="BK14" s="69">
        <f t="shared" si="8"/>
        <v>0.1</v>
      </c>
      <c r="BL14" s="69">
        <f t="shared" si="8"/>
        <v>0.1</v>
      </c>
      <c r="BM14" s="69">
        <f t="shared" si="8"/>
        <v>0.1</v>
      </c>
      <c r="BN14" s="69">
        <f t="shared" si="8"/>
        <v>0.1</v>
      </c>
      <c r="BO14" s="69">
        <f t="shared" si="8"/>
        <v>0.1</v>
      </c>
      <c r="BP14" s="69">
        <f t="shared" si="8"/>
        <v>0.1</v>
      </c>
      <c r="BQ14" s="69">
        <f t="shared" si="8"/>
        <v>0.1</v>
      </c>
      <c r="BR14" s="69">
        <f t="shared" si="8"/>
        <v>0.1</v>
      </c>
      <c r="BS14" s="69">
        <f t="shared" si="8"/>
        <v>0.1</v>
      </c>
      <c r="BT14" s="69">
        <f t="shared" si="8"/>
        <v>0.1</v>
      </c>
      <c r="BU14" s="40"/>
    </row>
    <row r="15" spans="1:79" ht="15.6">
      <c r="A15" t="s">
        <v>37</v>
      </c>
      <c r="B15" s="59"/>
      <c r="F15" s="60" t="s">
        <v>36</v>
      </c>
      <c r="G15" s="68">
        <f>1-G14</f>
        <v>0.9</v>
      </c>
      <c r="H15" s="68">
        <f>1-H14</f>
        <v>0.9</v>
      </c>
      <c r="I15" s="59"/>
      <c r="M15" s="69">
        <f>G15</f>
        <v>0.9</v>
      </c>
      <c r="N15" s="69">
        <f t="shared" ref="N15:AS15" si="9">M15+($H15-$G15)/COUNT($N$4:$BT$4)</f>
        <v>0.9</v>
      </c>
      <c r="O15" s="69">
        <f t="shared" si="9"/>
        <v>0.9</v>
      </c>
      <c r="P15" s="69">
        <f t="shared" si="9"/>
        <v>0.9</v>
      </c>
      <c r="Q15" s="69">
        <f t="shared" si="9"/>
        <v>0.9</v>
      </c>
      <c r="R15" s="69">
        <f t="shared" si="9"/>
        <v>0.9</v>
      </c>
      <c r="S15" s="69">
        <f t="shared" si="9"/>
        <v>0.9</v>
      </c>
      <c r="T15" s="69">
        <f t="shared" si="9"/>
        <v>0.9</v>
      </c>
      <c r="U15" s="69">
        <f t="shared" si="9"/>
        <v>0.9</v>
      </c>
      <c r="V15" s="69">
        <f t="shared" si="9"/>
        <v>0.9</v>
      </c>
      <c r="W15" s="69">
        <f t="shared" si="9"/>
        <v>0.9</v>
      </c>
      <c r="X15" s="69">
        <f t="shared" si="9"/>
        <v>0.9</v>
      </c>
      <c r="Y15" s="69">
        <f t="shared" si="9"/>
        <v>0.9</v>
      </c>
      <c r="Z15" s="69">
        <f t="shared" si="9"/>
        <v>0.9</v>
      </c>
      <c r="AA15" s="69">
        <f t="shared" si="9"/>
        <v>0.9</v>
      </c>
      <c r="AB15" s="69">
        <f t="shared" si="9"/>
        <v>0.9</v>
      </c>
      <c r="AC15" s="69">
        <f t="shared" si="9"/>
        <v>0.9</v>
      </c>
      <c r="AD15" s="69">
        <f t="shared" si="9"/>
        <v>0.9</v>
      </c>
      <c r="AE15" s="69">
        <f t="shared" si="9"/>
        <v>0.9</v>
      </c>
      <c r="AF15" s="69">
        <f t="shared" si="9"/>
        <v>0.9</v>
      </c>
      <c r="AG15" s="69">
        <f t="shared" si="9"/>
        <v>0.9</v>
      </c>
      <c r="AH15" s="69">
        <f t="shared" si="9"/>
        <v>0.9</v>
      </c>
      <c r="AI15" s="69">
        <f t="shared" si="9"/>
        <v>0.9</v>
      </c>
      <c r="AJ15" s="69">
        <f t="shared" si="9"/>
        <v>0.9</v>
      </c>
      <c r="AK15" s="69">
        <f t="shared" si="9"/>
        <v>0.9</v>
      </c>
      <c r="AL15" s="69">
        <f t="shared" si="9"/>
        <v>0.9</v>
      </c>
      <c r="AM15" s="69">
        <f t="shared" si="9"/>
        <v>0.9</v>
      </c>
      <c r="AN15" s="69">
        <f t="shared" si="9"/>
        <v>0.9</v>
      </c>
      <c r="AO15" s="69">
        <f t="shared" si="9"/>
        <v>0.9</v>
      </c>
      <c r="AP15" s="69">
        <f t="shared" si="9"/>
        <v>0.9</v>
      </c>
      <c r="AQ15" s="69">
        <f t="shared" si="9"/>
        <v>0.9</v>
      </c>
      <c r="AR15" s="69">
        <f t="shared" si="9"/>
        <v>0.9</v>
      </c>
      <c r="AS15" s="69">
        <f t="shared" si="9"/>
        <v>0.9</v>
      </c>
      <c r="AT15" s="69">
        <f t="shared" ref="AT15:BT15" si="10">AS15+($H15-$G15)/COUNT($N$4:$BT$4)</f>
        <v>0.9</v>
      </c>
      <c r="AU15" s="69">
        <f t="shared" si="10"/>
        <v>0.9</v>
      </c>
      <c r="AV15" s="69">
        <f t="shared" si="10"/>
        <v>0.9</v>
      </c>
      <c r="AW15" s="69">
        <f t="shared" si="10"/>
        <v>0.9</v>
      </c>
      <c r="AX15" s="69">
        <f t="shared" si="10"/>
        <v>0.9</v>
      </c>
      <c r="AY15" s="69">
        <f t="shared" si="10"/>
        <v>0.9</v>
      </c>
      <c r="AZ15" s="69">
        <f t="shared" si="10"/>
        <v>0.9</v>
      </c>
      <c r="BA15" s="69">
        <f t="shared" si="10"/>
        <v>0.9</v>
      </c>
      <c r="BB15" s="69">
        <f t="shared" si="10"/>
        <v>0.9</v>
      </c>
      <c r="BC15" s="69">
        <f t="shared" si="10"/>
        <v>0.9</v>
      </c>
      <c r="BD15" s="69">
        <f t="shared" si="10"/>
        <v>0.9</v>
      </c>
      <c r="BE15" s="69">
        <f t="shared" si="10"/>
        <v>0.9</v>
      </c>
      <c r="BF15" s="69">
        <f t="shared" si="10"/>
        <v>0.9</v>
      </c>
      <c r="BG15" s="69">
        <f t="shared" si="10"/>
        <v>0.9</v>
      </c>
      <c r="BH15" s="69">
        <f t="shared" si="10"/>
        <v>0.9</v>
      </c>
      <c r="BI15" s="69">
        <f t="shared" si="10"/>
        <v>0.9</v>
      </c>
      <c r="BJ15" s="69">
        <f t="shared" si="10"/>
        <v>0.9</v>
      </c>
      <c r="BK15" s="69">
        <f t="shared" si="10"/>
        <v>0.9</v>
      </c>
      <c r="BL15" s="69">
        <f t="shared" si="10"/>
        <v>0.9</v>
      </c>
      <c r="BM15" s="69">
        <f t="shared" si="10"/>
        <v>0.9</v>
      </c>
      <c r="BN15" s="69">
        <f t="shared" si="10"/>
        <v>0.9</v>
      </c>
      <c r="BO15" s="69">
        <f t="shared" si="10"/>
        <v>0.9</v>
      </c>
      <c r="BP15" s="69">
        <f t="shared" si="10"/>
        <v>0.9</v>
      </c>
      <c r="BQ15" s="69">
        <f t="shared" si="10"/>
        <v>0.9</v>
      </c>
      <c r="BR15" s="69">
        <f t="shared" si="10"/>
        <v>0.9</v>
      </c>
      <c r="BS15" s="69">
        <f t="shared" si="10"/>
        <v>0.9</v>
      </c>
      <c r="BT15" s="69">
        <f t="shared" si="10"/>
        <v>0.9</v>
      </c>
      <c r="BU15" s="40"/>
    </row>
    <row r="16" spans="1:79" ht="15.6">
      <c r="A16" s="41" t="s">
        <v>38</v>
      </c>
      <c r="B16" s="42"/>
      <c r="C16" s="43"/>
      <c r="D16" s="44"/>
      <c r="E16" s="40"/>
      <c r="F16" s="70"/>
      <c r="G16" s="40"/>
      <c r="H16" s="40"/>
      <c r="I16" s="70"/>
      <c r="J16" s="40"/>
      <c r="K16" s="40"/>
      <c r="L16" s="40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0"/>
      <c r="BV16" s="47"/>
      <c r="BW16" s="47"/>
      <c r="BX16" s="47"/>
      <c r="BY16" s="47"/>
      <c r="BZ16" s="47"/>
    </row>
    <row r="17" spans="1:78" ht="15.6">
      <c r="A17" s="71" t="s">
        <v>39</v>
      </c>
      <c r="B17" s="72"/>
      <c r="C17" s="73"/>
      <c r="D17" s="73"/>
      <c r="E17" s="73"/>
      <c r="F17" s="72"/>
      <c r="G17" s="73"/>
      <c r="H17" s="73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40"/>
      <c r="BV17" s="73"/>
      <c r="BW17" s="73"/>
      <c r="BX17" s="73"/>
      <c r="BY17" s="73"/>
      <c r="BZ17" s="73"/>
    </row>
    <row r="18" spans="1:78" ht="15.6">
      <c r="A18" s="74" t="s">
        <v>40</v>
      </c>
      <c r="B18" s="59"/>
      <c r="E18" s="58"/>
      <c r="F18" s="59"/>
      <c r="I18" s="59"/>
      <c r="BU18" s="40"/>
    </row>
    <row r="19" spans="1:78" ht="15.6">
      <c r="A19" t="s">
        <v>40</v>
      </c>
      <c r="B19" s="59"/>
      <c r="F19" s="60" t="s">
        <v>41</v>
      </c>
      <c r="G19" s="75">
        <v>0.06</v>
      </c>
      <c r="H19" s="75">
        <f>G19</f>
        <v>0.06</v>
      </c>
      <c r="I19" s="76"/>
      <c r="M19" s="63">
        <f>G19</f>
        <v>0.06</v>
      </c>
      <c r="N19" s="63">
        <f t="shared" ref="N19:AS19" si="11">M19+($H19-$G19)/COUNT($N$4:$BT$4)</f>
        <v>0.06</v>
      </c>
      <c r="O19" s="63">
        <f t="shared" si="11"/>
        <v>0.06</v>
      </c>
      <c r="P19" s="63">
        <f t="shared" si="11"/>
        <v>0.06</v>
      </c>
      <c r="Q19" s="63">
        <f t="shared" si="11"/>
        <v>0.06</v>
      </c>
      <c r="R19" s="63">
        <f t="shared" si="11"/>
        <v>0.06</v>
      </c>
      <c r="S19" s="63">
        <f t="shared" si="11"/>
        <v>0.06</v>
      </c>
      <c r="T19" s="63">
        <f t="shared" si="11"/>
        <v>0.06</v>
      </c>
      <c r="U19" s="63">
        <f t="shared" si="11"/>
        <v>0.06</v>
      </c>
      <c r="V19" s="63">
        <f t="shared" si="11"/>
        <v>0.06</v>
      </c>
      <c r="W19" s="63">
        <f t="shared" si="11"/>
        <v>0.06</v>
      </c>
      <c r="X19" s="63">
        <f t="shared" si="11"/>
        <v>0.06</v>
      </c>
      <c r="Y19" s="63">
        <f t="shared" si="11"/>
        <v>0.06</v>
      </c>
      <c r="Z19" s="63">
        <f t="shared" si="11"/>
        <v>0.06</v>
      </c>
      <c r="AA19" s="63">
        <f t="shared" si="11"/>
        <v>0.06</v>
      </c>
      <c r="AB19" s="63">
        <f t="shared" si="11"/>
        <v>0.06</v>
      </c>
      <c r="AC19" s="63">
        <f t="shared" si="11"/>
        <v>0.06</v>
      </c>
      <c r="AD19" s="63">
        <f t="shared" si="11"/>
        <v>0.06</v>
      </c>
      <c r="AE19" s="63">
        <f t="shared" si="11"/>
        <v>0.06</v>
      </c>
      <c r="AF19" s="63">
        <f t="shared" si="11"/>
        <v>0.06</v>
      </c>
      <c r="AG19" s="63">
        <f t="shared" si="11"/>
        <v>0.06</v>
      </c>
      <c r="AH19" s="63">
        <f t="shared" si="11"/>
        <v>0.06</v>
      </c>
      <c r="AI19" s="63">
        <f t="shared" si="11"/>
        <v>0.06</v>
      </c>
      <c r="AJ19" s="63">
        <f t="shared" si="11"/>
        <v>0.06</v>
      </c>
      <c r="AK19" s="63">
        <f t="shared" si="11"/>
        <v>0.06</v>
      </c>
      <c r="AL19" s="63">
        <f t="shared" si="11"/>
        <v>0.06</v>
      </c>
      <c r="AM19" s="63">
        <f t="shared" si="11"/>
        <v>0.06</v>
      </c>
      <c r="AN19" s="63">
        <f t="shared" si="11"/>
        <v>0.06</v>
      </c>
      <c r="AO19" s="63">
        <f t="shared" si="11"/>
        <v>0.06</v>
      </c>
      <c r="AP19" s="63">
        <f t="shared" si="11"/>
        <v>0.06</v>
      </c>
      <c r="AQ19" s="63">
        <f t="shared" si="11"/>
        <v>0.06</v>
      </c>
      <c r="AR19" s="63">
        <f t="shared" si="11"/>
        <v>0.06</v>
      </c>
      <c r="AS19" s="63">
        <f t="shared" si="11"/>
        <v>0.06</v>
      </c>
      <c r="AT19" s="63">
        <f t="shared" ref="AT19:BT19" si="12">AS19+($H19-$G19)/COUNT($N$4:$BT$4)</f>
        <v>0.06</v>
      </c>
      <c r="AU19" s="63">
        <f t="shared" si="12"/>
        <v>0.06</v>
      </c>
      <c r="AV19" s="63">
        <f t="shared" si="12"/>
        <v>0.06</v>
      </c>
      <c r="AW19" s="63">
        <f t="shared" si="12"/>
        <v>0.06</v>
      </c>
      <c r="AX19" s="63">
        <f t="shared" si="12"/>
        <v>0.06</v>
      </c>
      <c r="AY19" s="63">
        <f t="shared" si="12"/>
        <v>0.06</v>
      </c>
      <c r="AZ19" s="63">
        <f t="shared" si="12"/>
        <v>0.06</v>
      </c>
      <c r="BA19" s="63">
        <f t="shared" si="12"/>
        <v>0.06</v>
      </c>
      <c r="BB19" s="63">
        <f t="shared" si="12"/>
        <v>0.06</v>
      </c>
      <c r="BC19" s="63">
        <f t="shared" si="12"/>
        <v>0.06</v>
      </c>
      <c r="BD19" s="63">
        <f t="shared" si="12"/>
        <v>0.06</v>
      </c>
      <c r="BE19" s="63">
        <f t="shared" si="12"/>
        <v>0.06</v>
      </c>
      <c r="BF19" s="63">
        <f t="shared" si="12"/>
        <v>0.06</v>
      </c>
      <c r="BG19" s="63">
        <f t="shared" si="12"/>
        <v>0.06</v>
      </c>
      <c r="BH19" s="63">
        <f t="shared" si="12"/>
        <v>0.06</v>
      </c>
      <c r="BI19" s="63">
        <f t="shared" si="12"/>
        <v>0.06</v>
      </c>
      <c r="BJ19" s="63">
        <f t="shared" si="12"/>
        <v>0.06</v>
      </c>
      <c r="BK19" s="63">
        <f t="shared" si="12"/>
        <v>0.06</v>
      </c>
      <c r="BL19" s="63">
        <f t="shared" si="12"/>
        <v>0.06</v>
      </c>
      <c r="BM19" s="63">
        <f t="shared" si="12"/>
        <v>0.06</v>
      </c>
      <c r="BN19" s="63">
        <f t="shared" si="12"/>
        <v>0.06</v>
      </c>
      <c r="BO19" s="63">
        <f t="shared" si="12"/>
        <v>0.06</v>
      </c>
      <c r="BP19" s="63">
        <f t="shared" si="12"/>
        <v>0.06</v>
      </c>
      <c r="BQ19" s="63">
        <f t="shared" si="12"/>
        <v>0.06</v>
      </c>
      <c r="BR19" s="63">
        <f t="shared" si="12"/>
        <v>0.06</v>
      </c>
      <c r="BS19" s="63">
        <f t="shared" si="12"/>
        <v>0.06</v>
      </c>
      <c r="BT19" s="63">
        <f t="shared" si="12"/>
        <v>0.06</v>
      </c>
      <c r="BU19" s="40"/>
      <c r="BV19" s="58">
        <f>SUMIF($M$3:$BT$3,BV$3,$M19:$BT19)</f>
        <v>0.7200000000000002</v>
      </c>
      <c r="BW19" s="58">
        <f>SUMIF($M$3:$BT$3,BW$3,$M19:$BT19)</f>
        <v>0.7200000000000002</v>
      </c>
      <c r="BX19" s="58">
        <f>SUMIF($M$3:$BT$3,BX$3,$M19:$BT19)</f>
        <v>0.7200000000000002</v>
      </c>
      <c r="BY19" s="58">
        <f>SUMIF($M$3:$BT$3,BY$3,$M19:$BT19)</f>
        <v>0.7200000000000002</v>
      </c>
      <c r="BZ19" s="58">
        <f>SUMIF($M$3:$BT$3,BZ$3,$M19:$BT19)</f>
        <v>0.7200000000000002</v>
      </c>
    </row>
    <row r="20" spans="1:78" ht="15.6">
      <c r="A20" s="74" t="s">
        <v>42</v>
      </c>
      <c r="B20" s="59"/>
      <c r="E20" s="58"/>
      <c r="F20" s="59"/>
      <c r="I20" s="59"/>
      <c r="BU20" s="40"/>
    </row>
    <row r="21" spans="1:78" ht="15.6">
      <c r="A21" t="s">
        <v>43</v>
      </c>
      <c r="B21" s="59"/>
      <c r="E21" s="58"/>
      <c r="F21" s="60" t="s">
        <v>44</v>
      </c>
      <c r="G21" s="77">
        <v>0</v>
      </c>
      <c r="H21" s="77">
        <v>0</v>
      </c>
      <c r="I21" s="59"/>
      <c r="M21" s="69">
        <f>G21</f>
        <v>0</v>
      </c>
      <c r="N21" s="69">
        <f t="shared" ref="N21:AS21" si="13">M21+($H21-$G21)/COUNT($N$4:$BT$4)</f>
        <v>0</v>
      </c>
      <c r="O21" s="69">
        <f t="shared" si="13"/>
        <v>0</v>
      </c>
      <c r="P21" s="69">
        <f t="shared" si="13"/>
        <v>0</v>
      </c>
      <c r="Q21" s="69">
        <f t="shared" si="13"/>
        <v>0</v>
      </c>
      <c r="R21" s="69">
        <f t="shared" si="13"/>
        <v>0</v>
      </c>
      <c r="S21" s="69">
        <f t="shared" si="13"/>
        <v>0</v>
      </c>
      <c r="T21" s="69">
        <f t="shared" si="13"/>
        <v>0</v>
      </c>
      <c r="U21" s="69">
        <f t="shared" si="13"/>
        <v>0</v>
      </c>
      <c r="V21" s="69">
        <f t="shared" si="13"/>
        <v>0</v>
      </c>
      <c r="W21" s="69">
        <f t="shared" si="13"/>
        <v>0</v>
      </c>
      <c r="X21" s="69">
        <f t="shared" si="13"/>
        <v>0</v>
      </c>
      <c r="Y21" s="69">
        <f t="shared" si="13"/>
        <v>0</v>
      </c>
      <c r="Z21" s="69">
        <f t="shared" si="13"/>
        <v>0</v>
      </c>
      <c r="AA21" s="69">
        <f t="shared" si="13"/>
        <v>0</v>
      </c>
      <c r="AB21" s="69">
        <f t="shared" si="13"/>
        <v>0</v>
      </c>
      <c r="AC21" s="69">
        <f t="shared" si="13"/>
        <v>0</v>
      </c>
      <c r="AD21" s="69">
        <f t="shared" si="13"/>
        <v>0</v>
      </c>
      <c r="AE21" s="69">
        <f t="shared" si="13"/>
        <v>0</v>
      </c>
      <c r="AF21" s="69">
        <f t="shared" si="13"/>
        <v>0</v>
      </c>
      <c r="AG21" s="69">
        <f t="shared" si="13"/>
        <v>0</v>
      </c>
      <c r="AH21" s="69">
        <f t="shared" si="13"/>
        <v>0</v>
      </c>
      <c r="AI21" s="69">
        <f t="shared" si="13"/>
        <v>0</v>
      </c>
      <c r="AJ21" s="69">
        <f t="shared" si="13"/>
        <v>0</v>
      </c>
      <c r="AK21" s="69">
        <f t="shared" si="13"/>
        <v>0</v>
      </c>
      <c r="AL21" s="69">
        <f t="shared" si="13"/>
        <v>0</v>
      </c>
      <c r="AM21" s="69">
        <f t="shared" si="13"/>
        <v>0</v>
      </c>
      <c r="AN21" s="69">
        <f t="shared" si="13"/>
        <v>0</v>
      </c>
      <c r="AO21" s="69">
        <f t="shared" si="13"/>
        <v>0</v>
      </c>
      <c r="AP21" s="69">
        <f t="shared" si="13"/>
        <v>0</v>
      </c>
      <c r="AQ21" s="69">
        <f t="shared" si="13"/>
        <v>0</v>
      </c>
      <c r="AR21" s="69">
        <f t="shared" si="13"/>
        <v>0</v>
      </c>
      <c r="AS21" s="69">
        <f t="shared" si="13"/>
        <v>0</v>
      </c>
      <c r="AT21" s="69">
        <f t="shared" ref="AT21:BT21" si="14">AS21+($H21-$G21)/COUNT($N$4:$BT$4)</f>
        <v>0</v>
      </c>
      <c r="AU21" s="69">
        <f t="shared" si="14"/>
        <v>0</v>
      </c>
      <c r="AV21" s="69">
        <f t="shared" si="14"/>
        <v>0</v>
      </c>
      <c r="AW21" s="69">
        <f t="shared" si="14"/>
        <v>0</v>
      </c>
      <c r="AX21" s="69">
        <f t="shared" si="14"/>
        <v>0</v>
      </c>
      <c r="AY21" s="69">
        <f t="shared" si="14"/>
        <v>0</v>
      </c>
      <c r="AZ21" s="69">
        <f t="shared" si="14"/>
        <v>0</v>
      </c>
      <c r="BA21" s="69">
        <f t="shared" si="14"/>
        <v>0</v>
      </c>
      <c r="BB21" s="69">
        <f t="shared" si="14"/>
        <v>0</v>
      </c>
      <c r="BC21" s="69">
        <f t="shared" si="14"/>
        <v>0</v>
      </c>
      <c r="BD21" s="69">
        <f t="shared" si="14"/>
        <v>0</v>
      </c>
      <c r="BE21" s="69">
        <f t="shared" si="14"/>
        <v>0</v>
      </c>
      <c r="BF21" s="69">
        <f t="shared" si="14"/>
        <v>0</v>
      </c>
      <c r="BG21" s="69">
        <f t="shared" si="14"/>
        <v>0</v>
      </c>
      <c r="BH21" s="69">
        <f t="shared" si="14"/>
        <v>0</v>
      </c>
      <c r="BI21" s="69">
        <f t="shared" si="14"/>
        <v>0</v>
      </c>
      <c r="BJ21" s="69">
        <f t="shared" si="14"/>
        <v>0</v>
      </c>
      <c r="BK21" s="69">
        <f t="shared" si="14"/>
        <v>0</v>
      </c>
      <c r="BL21" s="69">
        <f t="shared" si="14"/>
        <v>0</v>
      </c>
      <c r="BM21" s="69">
        <f t="shared" si="14"/>
        <v>0</v>
      </c>
      <c r="BN21" s="69">
        <f t="shared" si="14"/>
        <v>0</v>
      </c>
      <c r="BO21" s="69">
        <f t="shared" si="14"/>
        <v>0</v>
      </c>
      <c r="BP21" s="69">
        <f t="shared" si="14"/>
        <v>0</v>
      </c>
      <c r="BQ21" s="69">
        <f t="shared" si="14"/>
        <v>0</v>
      </c>
      <c r="BR21" s="69">
        <f t="shared" si="14"/>
        <v>0</v>
      </c>
      <c r="BS21" s="69">
        <f t="shared" si="14"/>
        <v>0</v>
      </c>
      <c r="BT21" s="69">
        <f t="shared" si="14"/>
        <v>0</v>
      </c>
      <c r="BU21" s="40"/>
    </row>
    <row r="22" spans="1:78" ht="15.6">
      <c r="A22" s="78" t="s">
        <v>45</v>
      </c>
      <c r="B22" s="59"/>
      <c r="F22" s="59"/>
      <c r="I22" s="59"/>
      <c r="BU22" s="40"/>
    </row>
    <row r="23" spans="1:78" ht="15.6">
      <c r="A23" t="s">
        <v>46</v>
      </c>
      <c r="B23" s="59"/>
      <c r="F23" s="60" t="s">
        <v>47</v>
      </c>
      <c r="G23" s="64">
        <v>5</v>
      </c>
      <c r="H23" s="64">
        <v>5</v>
      </c>
      <c r="I23" s="59"/>
      <c r="M23" s="63">
        <f>G23</f>
        <v>5</v>
      </c>
      <c r="N23" s="63">
        <f t="shared" ref="N23:AS23" si="15">M23+($H23-$G23)/COUNT($N$4:$BT$4)</f>
        <v>5</v>
      </c>
      <c r="O23" s="63">
        <f t="shared" si="15"/>
        <v>5</v>
      </c>
      <c r="P23" s="63">
        <f t="shared" si="15"/>
        <v>5</v>
      </c>
      <c r="Q23" s="63">
        <f t="shared" si="15"/>
        <v>5</v>
      </c>
      <c r="R23" s="63">
        <f t="shared" si="15"/>
        <v>5</v>
      </c>
      <c r="S23" s="63">
        <f t="shared" si="15"/>
        <v>5</v>
      </c>
      <c r="T23" s="63">
        <f t="shared" si="15"/>
        <v>5</v>
      </c>
      <c r="U23" s="63">
        <f t="shared" si="15"/>
        <v>5</v>
      </c>
      <c r="V23" s="63">
        <f t="shared" si="15"/>
        <v>5</v>
      </c>
      <c r="W23" s="63">
        <f t="shared" si="15"/>
        <v>5</v>
      </c>
      <c r="X23" s="63">
        <f t="shared" si="15"/>
        <v>5</v>
      </c>
      <c r="Y23" s="63">
        <f t="shared" si="15"/>
        <v>5</v>
      </c>
      <c r="Z23" s="63">
        <f t="shared" si="15"/>
        <v>5</v>
      </c>
      <c r="AA23" s="63">
        <f t="shared" si="15"/>
        <v>5</v>
      </c>
      <c r="AB23" s="63">
        <f t="shared" si="15"/>
        <v>5</v>
      </c>
      <c r="AC23" s="63">
        <f t="shared" si="15"/>
        <v>5</v>
      </c>
      <c r="AD23" s="63">
        <f t="shared" si="15"/>
        <v>5</v>
      </c>
      <c r="AE23" s="63">
        <f t="shared" si="15"/>
        <v>5</v>
      </c>
      <c r="AF23" s="63">
        <f t="shared" si="15"/>
        <v>5</v>
      </c>
      <c r="AG23" s="63">
        <f t="shared" si="15"/>
        <v>5</v>
      </c>
      <c r="AH23" s="63">
        <f t="shared" si="15"/>
        <v>5</v>
      </c>
      <c r="AI23" s="63">
        <f t="shared" si="15"/>
        <v>5</v>
      </c>
      <c r="AJ23" s="63">
        <f t="shared" si="15"/>
        <v>5</v>
      </c>
      <c r="AK23" s="63">
        <f t="shared" si="15"/>
        <v>5</v>
      </c>
      <c r="AL23" s="63">
        <f t="shared" si="15"/>
        <v>5</v>
      </c>
      <c r="AM23" s="63">
        <f t="shared" si="15"/>
        <v>5</v>
      </c>
      <c r="AN23" s="63">
        <f t="shared" si="15"/>
        <v>5</v>
      </c>
      <c r="AO23" s="63">
        <f t="shared" si="15"/>
        <v>5</v>
      </c>
      <c r="AP23" s="63">
        <f t="shared" si="15"/>
        <v>5</v>
      </c>
      <c r="AQ23" s="63">
        <f t="shared" si="15"/>
        <v>5</v>
      </c>
      <c r="AR23" s="63">
        <f t="shared" si="15"/>
        <v>5</v>
      </c>
      <c r="AS23" s="63">
        <f t="shared" si="15"/>
        <v>5</v>
      </c>
      <c r="AT23" s="63">
        <f t="shared" ref="AT23:BT23" si="16">AS23+($H23-$G23)/COUNT($N$4:$BT$4)</f>
        <v>5</v>
      </c>
      <c r="AU23" s="63">
        <f t="shared" si="16"/>
        <v>5</v>
      </c>
      <c r="AV23" s="63">
        <f t="shared" si="16"/>
        <v>5</v>
      </c>
      <c r="AW23" s="63">
        <f t="shared" si="16"/>
        <v>5</v>
      </c>
      <c r="AX23" s="63">
        <f t="shared" si="16"/>
        <v>5</v>
      </c>
      <c r="AY23" s="63">
        <f t="shared" si="16"/>
        <v>5</v>
      </c>
      <c r="AZ23" s="63">
        <f t="shared" si="16"/>
        <v>5</v>
      </c>
      <c r="BA23" s="63">
        <f t="shared" si="16"/>
        <v>5</v>
      </c>
      <c r="BB23" s="63">
        <f t="shared" si="16"/>
        <v>5</v>
      </c>
      <c r="BC23" s="63">
        <f t="shared" si="16"/>
        <v>5</v>
      </c>
      <c r="BD23" s="63">
        <f t="shared" si="16"/>
        <v>5</v>
      </c>
      <c r="BE23" s="63">
        <f t="shared" si="16"/>
        <v>5</v>
      </c>
      <c r="BF23" s="63">
        <f t="shared" si="16"/>
        <v>5</v>
      </c>
      <c r="BG23" s="63">
        <f t="shared" si="16"/>
        <v>5</v>
      </c>
      <c r="BH23" s="63">
        <f t="shared" si="16"/>
        <v>5</v>
      </c>
      <c r="BI23" s="63">
        <f t="shared" si="16"/>
        <v>5</v>
      </c>
      <c r="BJ23" s="63">
        <f t="shared" si="16"/>
        <v>5</v>
      </c>
      <c r="BK23" s="63">
        <f t="shared" si="16"/>
        <v>5</v>
      </c>
      <c r="BL23" s="63">
        <f t="shared" si="16"/>
        <v>5</v>
      </c>
      <c r="BM23" s="63">
        <f t="shared" si="16"/>
        <v>5</v>
      </c>
      <c r="BN23" s="63">
        <f t="shared" si="16"/>
        <v>5</v>
      </c>
      <c r="BO23" s="63">
        <f t="shared" si="16"/>
        <v>5</v>
      </c>
      <c r="BP23" s="63">
        <f t="shared" si="16"/>
        <v>5</v>
      </c>
      <c r="BQ23" s="63">
        <f t="shared" si="16"/>
        <v>5</v>
      </c>
      <c r="BR23" s="63">
        <f t="shared" si="16"/>
        <v>5</v>
      </c>
      <c r="BS23" s="63">
        <f t="shared" si="16"/>
        <v>5</v>
      </c>
      <c r="BT23" s="63">
        <f t="shared" si="16"/>
        <v>5</v>
      </c>
      <c r="BU23" s="40"/>
    </row>
    <row r="24" spans="1:78" ht="15.6">
      <c r="A24" t="s">
        <v>46</v>
      </c>
      <c r="B24" s="59"/>
      <c r="F24" s="60" t="s">
        <v>48</v>
      </c>
      <c r="G24" s="61">
        <f>70000/$G$7</f>
        <v>821.88564048373837</v>
      </c>
      <c r="H24" s="68">
        <v>0.05</v>
      </c>
      <c r="I24" s="59" t="s">
        <v>49</v>
      </c>
      <c r="BU24" s="40"/>
    </row>
    <row r="25" spans="1:78" ht="15.6">
      <c r="A25" s="71" t="s">
        <v>50</v>
      </c>
      <c r="B25" s="72"/>
      <c r="C25" s="73"/>
      <c r="D25" s="73"/>
      <c r="E25" s="73"/>
      <c r="F25" s="72"/>
      <c r="G25" s="73"/>
      <c r="H25" s="73"/>
      <c r="I25" s="72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40"/>
      <c r="BV25" s="73"/>
      <c r="BW25" s="73"/>
      <c r="BX25" s="73"/>
      <c r="BY25" s="73"/>
      <c r="BZ25" s="73"/>
    </row>
    <row r="26" spans="1:78" ht="15.6">
      <c r="A26" s="79" t="s">
        <v>51</v>
      </c>
      <c r="B26" s="80"/>
      <c r="C26" s="81"/>
      <c r="D26" s="82"/>
      <c r="E26" s="83"/>
      <c r="F26" s="84"/>
      <c r="G26" s="83"/>
      <c r="H26" s="83"/>
      <c r="I26" s="84"/>
      <c r="J26" s="83"/>
      <c r="K26" s="83"/>
      <c r="L26" s="83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40"/>
      <c r="BV26" s="85"/>
      <c r="BW26" s="85"/>
      <c r="BX26" s="85"/>
      <c r="BY26" s="85"/>
      <c r="BZ26" s="85"/>
    </row>
    <row r="27" spans="1:78" ht="15.6">
      <c r="A27" s="78" t="s">
        <v>52</v>
      </c>
      <c r="B27" s="59"/>
      <c r="F27" s="59"/>
      <c r="I27" s="59"/>
      <c r="BU27" s="40"/>
    </row>
    <row r="28" spans="1:78" ht="15.6">
      <c r="A28" t="s">
        <v>53</v>
      </c>
      <c r="B28" s="59"/>
      <c r="F28" s="60" t="s">
        <v>54</v>
      </c>
      <c r="G28" s="61">
        <v>1800</v>
      </c>
      <c r="H28" s="86">
        <v>0</v>
      </c>
      <c r="I28" s="59" t="s">
        <v>49</v>
      </c>
      <c r="L28" s="58"/>
      <c r="M28" s="61">
        <f>G28</f>
        <v>1800</v>
      </c>
      <c r="N28" s="61">
        <f t="shared" ref="N28:AS28" si="17">M28*(1+$H$28)</f>
        <v>1800</v>
      </c>
      <c r="O28" s="61">
        <f t="shared" si="17"/>
        <v>1800</v>
      </c>
      <c r="P28" s="61">
        <f t="shared" si="17"/>
        <v>1800</v>
      </c>
      <c r="Q28" s="61">
        <f t="shared" si="17"/>
        <v>1800</v>
      </c>
      <c r="R28" s="61">
        <f t="shared" si="17"/>
        <v>1800</v>
      </c>
      <c r="S28" s="61">
        <f t="shared" si="17"/>
        <v>1800</v>
      </c>
      <c r="T28" s="61">
        <f t="shared" si="17"/>
        <v>1800</v>
      </c>
      <c r="U28" s="61">
        <f t="shared" si="17"/>
        <v>1800</v>
      </c>
      <c r="V28" s="61">
        <f t="shared" si="17"/>
        <v>1800</v>
      </c>
      <c r="W28" s="61">
        <f t="shared" si="17"/>
        <v>1800</v>
      </c>
      <c r="X28" s="61">
        <f t="shared" si="17"/>
        <v>1800</v>
      </c>
      <c r="Y28" s="61">
        <f t="shared" si="17"/>
        <v>1800</v>
      </c>
      <c r="Z28" s="61">
        <f t="shared" si="17"/>
        <v>1800</v>
      </c>
      <c r="AA28" s="61">
        <f t="shared" si="17"/>
        <v>1800</v>
      </c>
      <c r="AB28" s="61">
        <f t="shared" si="17"/>
        <v>1800</v>
      </c>
      <c r="AC28" s="61">
        <f t="shared" si="17"/>
        <v>1800</v>
      </c>
      <c r="AD28" s="61">
        <f t="shared" si="17"/>
        <v>1800</v>
      </c>
      <c r="AE28" s="61">
        <f t="shared" si="17"/>
        <v>1800</v>
      </c>
      <c r="AF28" s="61">
        <f t="shared" si="17"/>
        <v>1800</v>
      </c>
      <c r="AG28" s="61">
        <f t="shared" si="17"/>
        <v>1800</v>
      </c>
      <c r="AH28" s="61">
        <f t="shared" si="17"/>
        <v>1800</v>
      </c>
      <c r="AI28" s="61">
        <f t="shared" si="17"/>
        <v>1800</v>
      </c>
      <c r="AJ28" s="61">
        <f t="shared" si="17"/>
        <v>1800</v>
      </c>
      <c r="AK28" s="61">
        <f t="shared" si="17"/>
        <v>1800</v>
      </c>
      <c r="AL28" s="61">
        <f t="shared" si="17"/>
        <v>1800</v>
      </c>
      <c r="AM28" s="61">
        <f t="shared" si="17"/>
        <v>1800</v>
      </c>
      <c r="AN28" s="61">
        <f t="shared" si="17"/>
        <v>1800</v>
      </c>
      <c r="AO28" s="61">
        <f t="shared" si="17"/>
        <v>1800</v>
      </c>
      <c r="AP28" s="61">
        <f t="shared" si="17"/>
        <v>1800</v>
      </c>
      <c r="AQ28" s="61">
        <f t="shared" si="17"/>
        <v>1800</v>
      </c>
      <c r="AR28" s="61">
        <f t="shared" si="17"/>
        <v>1800</v>
      </c>
      <c r="AS28" s="61">
        <f t="shared" si="17"/>
        <v>1800</v>
      </c>
      <c r="AT28" s="61">
        <f t="shared" ref="AT28:BT28" si="18">AS28*(1+$H$28)</f>
        <v>1800</v>
      </c>
      <c r="AU28" s="61">
        <f t="shared" si="18"/>
        <v>1800</v>
      </c>
      <c r="AV28" s="61">
        <f t="shared" si="18"/>
        <v>1800</v>
      </c>
      <c r="AW28" s="61">
        <f t="shared" si="18"/>
        <v>1800</v>
      </c>
      <c r="AX28" s="61">
        <f t="shared" si="18"/>
        <v>1800</v>
      </c>
      <c r="AY28" s="61">
        <f t="shared" si="18"/>
        <v>1800</v>
      </c>
      <c r="AZ28" s="61">
        <f t="shared" si="18"/>
        <v>1800</v>
      </c>
      <c r="BA28" s="61">
        <f t="shared" si="18"/>
        <v>1800</v>
      </c>
      <c r="BB28" s="61">
        <f t="shared" si="18"/>
        <v>1800</v>
      </c>
      <c r="BC28" s="61">
        <f t="shared" si="18"/>
        <v>1800</v>
      </c>
      <c r="BD28" s="61">
        <f t="shared" si="18"/>
        <v>1800</v>
      </c>
      <c r="BE28" s="61">
        <f t="shared" si="18"/>
        <v>1800</v>
      </c>
      <c r="BF28" s="61">
        <f t="shared" si="18"/>
        <v>1800</v>
      </c>
      <c r="BG28" s="61">
        <f t="shared" si="18"/>
        <v>1800</v>
      </c>
      <c r="BH28" s="61">
        <f t="shared" si="18"/>
        <v>1800</v>
      </c>
      <c r="BI28" s="61">
        <f t="shared" si="18"/>
        <v>1800</v>
      </c>
      <c r="BJ28" s="61">
        <f t="shared" si="18"/>
        <v>1800</v>
      </c>
      <c r="BK28" s="61">
        <f t="shared" si="18"/>
        <v>1800</v>
      </c>
      <c r="BL28" s="61">
        <f t="shared" si="18"/>
        <v>1800</v>
      </c>
      <c r="BM28" s="61">
        <f t="shared" si="18"/>
        <v>1800</v>
      </c>
      <c r="BN28" s="61">
        <f t="shared" si="18"/>
        <v>1800</v>
      </c>
      <c r="BO28" s="61">
        <f t="shared" si="18"/>
        <v>1800</v>
      </c>
      <c r="BP28" s="61">
        <f t="shared" si="18"/>
        <v>1800</v>
      </c>
      <c r="BQ28" s="61">
        <f t="shared" si="18"/>
        <v>1800</v>
      </c>
      <c r="BR28" s="61">
        <f t="shared" si="18"/>
        <v>1800</v>
      </c>
      <c r="BS28" s="61">
        <f t="shared" si="18"/>
        <v>1800</v>
      </c>
      <c r="BT28" s="61">
        <f t="shared" si="18"/>
        <v>1800</v>
      </c>
      <c r="BU28" s="40"/>
    </row>
    <row r="29" spans="1:78" ht="15.6">
      <c r="A29" s="87" t="s">
        <v>55</v>
      </c>
      <c r="B29" s="88"/>
      <c r="C29" s="87"/>
      <c r="D29" s="87"/>
      <c r="E29" s="87"/>
      <c r="F29" s="89" t="s">
        <v>56</v>
      </c>
      <c r="G29" s="90">
        <v>300</v>
      </c>
      <c r="H29" s="90">
        <f>G29</f>
        <v>300</v>
      </c>
      <c r="I29" s="91"/>
      <c r="J29" s="87"/>
      <c r="K29" s="87"/>
      <c r="L29" s="87"/>
      <c r="M29" s="92">
        <f>G29</f>
        <v>300</v>
      </c>
      <c r="N29" s="92">
        <f t="shared" ref="N29:AS29" si="19">M29+($H29-$G29)/COUNT($N$4:$BT$4)</f>
        <v>300</v>
      </c>
      <c r="O29" s="92">
        <f t="shared" si="19"/>
        <v>300</v>
      </c>
      <c r="P29" s="92">
        <f t="shared" si="19"/>
        <v>300</v>
      </c>
      <c r="Q29" s="92">
        <f t="shared" si="19"/>
        <v>300</v>
      </c>
      <c r="R29" s="92">
        <f t="shared" si="19"/>
        <v>300</v>
      </c>
      <c r="S29" s="92">
        <f t="shared" si="19"/>
        <v>300</v>
      </c>
      <c r="T29" s="92">
        <f t="shared" si="19"/>
        <v>300</v>
      </c>
      <c r="U29" s="92">
        <f t="shared" si="19"/>
        <v>300</v>
      </c>
      <c r="V29" s="92">
        <f t="shared" si="19"/>
        <v>300</v>
      </c>
      <c r="W29" s="92">
        <f t="shared" si="19"/>
        <v>300</v>
      </c>
      <c r="X29" s="92">
        <f t="shared" si="19"/>
        <v>300</v>
      </c>
      <c r="Y29" s="92">
        <f t="shared" si="19"/>
        <v>300</v>
      </c>
      <c r="Z29" s="92">
        <f t="shared" si="19"/>
        <v>300</v>
      </c>
      <c r="AA29" s="92">
        <f t="shared" si="19"/>
        <v>300</v>
      </c>
      <c r="AB29" s="92">
        <f t="shared" si="19"/>
        <v>300</v>
      </c>
      <c r="AC29" s="92">
        <f t="shared" si="19"/>
        <v>300</v>
      </c>
      <c r="AD29" s="92">
        <f t="shared" si="19"/>
        <v>300</v>
      </c>
      <c r="AE29" s="92">
        <f t="shared" si="19"/>
        <v>300</v>
      </c>
      <c r="AF29" s="92">
        <f t="shared" si="19"/>
        <v>300</v>
      </c>
      <c r="AG29" s="92">
        <f t="shared" si="19"/>
        <v>300</v>
      </c>
      <c r="AH29" s="92">
        <f t="shared" si="19"/>
        <v>300</v>
      </c>
      <c r="AI29" s="92">
        <f t="shared" si="19"/>
        <v>300</v>
      </c>
      <c r="AJ29" s="92">
        <f t="shared" si="19"/>
        <v>300</v>
      </c>
      <c r="AK29" s="92">
        <f t="shared" si="19"/>
        <v>300</v>
      </c>
      <c r="AL29" s="92">
        <f t="shared" si="19"/>
        <v>300</v>
      </c>
      <c r="AM29" s="92">
        <f t="shared" si="19"/>
        <v>300</v>
      </c>
      <c r="AN29" s="92">
        <f t="shared" si="19"/>
        <v>300</v>
      </c>
      <c r="AO29" s="92">
        <f t="shared" si="19"/>
        <v>300</v>
      </c>
      <c r="AP29" s="92">
        <f t="shared" si="19"/>
        <v>300</v>
      </c>
      <c r="AQ29" s="92">
        <f t="shared" si="19"/>
        <v>300</v>
      </c>
      <c r="AR29" s="92">
        <f t="shared" si="19"/>
        <v>300</v>
      </c>
      <c r="AS29" s="92">
        <f t="shared" si="19"/>
        <v>300</v>
      </c>
      <c r="AT29" s="92">
        <f t="shared" ref="AT29:BT29" si="20">AS29+($H29-$G29)/COUNT($N$4:$BT$4)</f>
        <v>300</v>
      </c>
      <c r="AU29" s="92">
        <f t="shared" si="20"/>
        <v>300</v>
      </c>
      <c r="AV29" s="92">
        <f t="shared" si="20"/>
        <v>300</v>
      </c>
      <c r="AW29" s="92">
        <f t="shared" si="20"/>
        <v>300</v>
      </c>
      <c r="AX29" s="92">
        <f t="shared" si="20"/>
        <v>300</v>
      </c>
      <c r="AY29" s="92">
        <f t="shared" si="20"/>
        <v>300</v>
      </c>
      <c r="AZ29" s="92">
        <f t="shared" si="20"/>
        <v>300</v>
      </c>
      <c r="BA29" s="92">
        <f t="shared" si="20"/>
        <v>300</v>
      </c>
      <c r="BB29" s="92">
        <f t="shared" si="20"/>
        <v>300</v>
      </c>
      <c r="BC29" s="92">
        <f t="shared" si="20"/>
        <v>300</v>
      </c>
      <c r="BD29" s="92">
        <f t="shared" si="20"/>
        <v>300</v>
      </c>
      <c r="BE29" s="92">
        <f t="shared" si="20"/>
        <v>300</v>
      </c>
      <c r="BF29" s="92">
        <f t="shared" si="20"/>
        <v>300</v>
      </c>
      <c r="BG29" s="92">
        <f t="shared" si="20"/>
        <v>300</v>
      </c>
      <c r="BH29" s="92">
        <f t="shared" si="20"/>
        <v>300</v>
      </c>
      <c r="BI29" s="92">
        <f t="shared" si="20"/>
        <v>300</v>
      </c>
      <c r="BJ29" s="92">
        <f t="shared" si="20"/>
        <v>300</v>
      </c>
      <c r="BK29" s="92">
        <f t="shared" si="20"/>
        <v>300</v>
      </c>
      <c r="BL29" s="92">
        <f t="shared" si="20"/>
        <v>300</v>
      </c>
      <c r="BM29" s="92">
        <f t="shared" si="20"/>
        <v>300</v>
      </c>
      <c r="BN29" s="92">
        <f t="shared" si="20"/>
        <v>300</v>
      </c>
      <c r="BO29" s="92">
        <f t="shared" si="20"/>
        <v>300</v>
      </c>
      <c r="BP29" s="92">
        <f t="shared" si="20"/>
        <v>300</v>
      </c>
      <c r="BQ29" s="92">
        <f t="shared" si="20"/>
        <v>300</v>
      </c>
      <c r="BR29" s="92">
        <f t="shared" si="20"/>
        <v>300</v>
      </c>
      <c r="BS29" s="92">
        <f t="shared" si="20"/>
        <v>300</v>
      </c>
      <c r="BT29" s="92">
        <f t="shared" si="20"/>
        <v>300</v>
      </c>
      <c r="BU29" s="40"/>
      <c r="BV29" s="58">
        <f>SUMIF($M$3:$BT$3,BV$3,$M28:$BT28)</f>
        <v>21600</v>
      </c>
      <c r="BW29" s="58">
        <f>SUMIF($M$3:$BT$3,BW$3,$M28:$BT28)</f>
        <v>21600</v>
      </c>
      <c r="BX29" s="58">
        <f>SUMIF($M$3:$BT$3,BX$3,$M28:$BT28)</f>
        <v>21600</v>
      </c>
      <c r="BY29" s="58">
        <f>SUMIF($M$3:$BT$3,BY$3,$M28:$BT28)</f>
        <v>21600</v>
      </c>
      <c r="BZ29" s="58">
        <f>SUMIF($M$3:$BT$3,BZ$3,$M28:$BT28)</f>
        <v>21600</v>
      </c>
    </row>
    <row r="30" spans="1:78" ht="15.6">
      <c r="A30" t="s">
        <v>57</v>
      </c>
      <c r="B30" s="59"/>
      <c r="F30" s="59"/>
      <c r="G30" s="61">
        <v>300</v>
      </c>
      <c r="H30" s="93">
        <f>G30</f>
        <v>300</v>
      </c>
      <c r="I30" s="59"/>
      <c r="L30" s="58"/>
      <c r="M30" s="63">
        <f>G30</f>
        <v>300</v>
      </c>
      <c r="N30" s="63">
        <f t="shared" ref="N30:AS30" si="21">M30+($H30-$G30)/COUNT($N$4:$BT$4)</f>
        <v>300</v>
      </c>
      <c r="O30" s="63">
        <f t="shared" si="21"/>
        <v>300</v>
      </c>
      <c r="P30" s="63">
        <f t="shared" si="21"/>
        <v>300</v>
      </c>
      <c r="Q30" s="63">
        <f t="shared" si="21"/>
        <v>300</v>
      </c>
      <c r="R30" s="63">
        <f t="shared" si="21"/>
        <v>300</v>
      </c>
      <c r="S30" s="63">
        <f t="shared" si="21"/>
        <v>300</v>
      </c>
      <c r="T30" s="63">
        <f t="shared" si="21"/>
        <v>300</v>
      </c>
      <c r="U30" s="63">
        <f t="shared" si="21"/>
        <v>300</v>
      </c>
      <c r="V30" s="63">
        <f t="shared" si="21"/>
        <v>300</v>
      </c>
      <c r="W30" s="63">
        <f t="shared" si="21"/>
        <v>300</v>
      </c>
      <c r="X30" s="63">
        <f t="shared" si="21"/>
        <v>300</v>
      </c>
      <c r="Y30" s="63">
        <f t="shared" si="21"/>
        <v>300</v>
      </c>
      <c r="Z30" s="63">
        <f t="shared" si="21"/>
        <v>300</v>
      </c>
      <c r="AA30" s="63">
        <f t="shared" si="21"/>
        <v>300</v>
      </c>
      <c r="AB30" s="63">
        <f t="shared" si="21"/>
        <v>300</v>
      </c>
      <c r="AC30" s="63">
        <f t="shared" si="21"/>
        <v>300</v>
      </c>
      <c r="AD30" s="63">
        <f t="shared" si="21"/>
        <v>300</v>
      </c>
      <c r="AE30" s="63">
        <f t="shared" si="21"/>
        <v>300</v>
      </c>
      <c r="AF30" s="63">
        <f t="shared" si="21"/>
        <v>300</v>
      </c>
      <c r="AG30" s="63">
        <f t="shared" si="21"/>
        <v>300</v>
      </c>
      <c r="AH30" s="63">
        <f t="shared" si="21"/>
        <v>300</v>
      </c>
      <c r="AI30" s="63">
        <f t="shared" si="21"/>
        <v>300</v>
      </c>
      <c r="AJ30" s="63">
        <f t="shared" si="21"/>
        <v>300</v>
      </c>
      <c r="AK30" s="63">
        <f t="shared" si="21"/>
        <v>300</v>
      </c>
      <c r="AL30" s="63">
        <f t="shared" si="21"/>
        <v>300</v>
      </c>
      <c r="AM30" s="63">
        <f t="shared" si="21"/>
        <v>300</v>
      </c>
      <c r="AN30" s="63">
        <f t="shared" si="21"/>
        <v>300</v>
      </c>
      <c r="AO30" s="63">
        <f t="shared" si="21"/>
        <v>300</v>
      </c>
      <c r="AP30" s="63">
        <f t="shared" si="21"/>
        <v>300</v>
      </c>
      <c r="AQ30" s="63">
        <f t="shared" si="21"/>
        <v>300</v>
      </c>
      <c r="AR30" s="63">
        <f t="shared" si="21"/>
        <v>300</v>
      </c>
      <c r="AS30" s="63">
        <f t="shared" si="21"/>
        <v>300</v>
      </c>
      <c r="AT30" s="63">
        <f t="shared" ref="AT30:BT30" si="22">AS30+($H30-$G30)/COUNT($N$4:$BT$4)</f>
        <v>300</v>
      </c>
      <c r="AU30" s="63">
        <f t="shared" si="22"/>
        <v>300</v>
      </c>
      <c r="AV30" s="63">
        <f t="shared" si="22"/>
        <v>300</v>
      </c>
      <c r="AW30" s="63">
        <f t="shared" si="22"/>
        <v>300</v>
      </c>
      <c r="AX30" s="63">
        <f t="shared" si="22"/>
        <v>300</v>
      </c>
      <c r="AY30" s="63">
        <f t="shared" si="22"/>
        <v>300</v>
      </c>
      <c r="AZ30" s="63">
        <f t="shared" si="22"/>
        <v>300</v>
      </c>
      <c r="BA30" s="63">
        <f t="shared" si="22"/>
        <v>300</v>
      </c>
      <c r="BB30" s="63">
        <f t="shared" si="22"/>
        <v>300</v>
      </c>
      <c r="BC30" s="63">
        <f t="shared" si="22"/>
        <v>300</v>
      </c>
      <c r="BD30" s="63">
        <f t="shared" si="22"/>
        <v>300</v>
      </c>
      <c r="BE30" s="63">
        <f t="shared" si="22"/>
        <v>300</v>
      </c>
      <c r="BF30" s="63">
        <f t="shared" si="22"/>
        <v>300</v>
      </c>
      <c r="BG30" s="63">
        <f t="shared" si="22"/>
        <v>300</v>
      </c>
      <c r="BH30" s="63">
        <f t="shared" si="22"/>
        <v>300</v>
      </c>
      <c r="BI30" s="63">
        <f t="shared" si="22"/>
        <v>300</v>
      </c>
      <c r="BJ30" s="63">
        <f t="shared" si="22"/>
        <v>300</v>
      </c>
      <c r="BK30" s="63">
        <f t="shared" si="22"/>
        <v>300</v>
      </c>
      <c r="BL30" s="63">
        <f t="shared" si="22"/>
        <v>300</v>
      </c>
      <c r="BM30" s="63">
        <f t="shared" si="22"/>
        <v>300</v>
      </c>
      <c r="BN30" s="63">
        <f t="shared" si="22"/>
        <v>300</v>
      </c>
      <c r="BO30" s="63">
        <f t="shared" si="22"/>
        <v>300</v>
      </c>
      <c r="BP30" s="63">
        <f t="shared" si="22"/>
        <v>300</v>
      </c>
      <c r="BQ30" s="63">
        <f t="shared" si="22"/>
        <v>300</v>
      </c>
      <c r="BR30" s="63">
        <f t="shared" si="22"/>
        <v>300</v>
      </c>
      <c r="BS30" s="63">
        <f t="shared" si="22"/>
        <v>300</v>
      </c>
      <c r="BT30" s="63">
        <f t="shared" si="22"/>
        <v>300</v>
      </c>
      <c r="BU30" s="40"/>
      <c r="BV30" s="58"/>
      <c r="BW30" s="58"/>
      <c r="BX30" s="58"/>
      <c r="BY30" s="58"/>
      <c r="BZ30" s="58"/>
    </row>
    <row r="31" spans="1:78" ht="15.6">
      <c r="A31" s="78" t="s">
        <v>58</v>
      </c>
      <c r="B31" s="59"/>
      <c r="F31" s="59"/>
      <c r="G31" s="94"/>
      <c r="H31" s="94"/>
      <c r="I31" s="95"/>
      <c r="J31" s="12"/>
      <c r="K31" s="12"/>
      <c r="L31" s="12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40"/>
    </row>
    <row r="32" spans="1:78" ht="15.6">
      <c r="A32" s="97" t="s">
        <v>59</v>
      </c>
      <c r="B32" s="59"/>
      <c r="F32" s="60" t="s">
        <v>60</v>
      </c>
      <c r="G32" s="68">
        <v>0.03</v>
      </c>
      <c r="H32" s="68">
        <f>G32</f>
        <v>0.03</v>
      </c>
      <c r="I32" s="95"/>
      <c r="J32" s="12"/>
      <c r="K32" s="12"/>
      <c r="L32" s="12"/>
      <c r="M32" s="98">
        <f>G32</f>
        <v>0.03</v>
      </c>
      <c r="N32" s="98">
        <f t="shared" ref="N32:AS32" si="23">M32+($H32-$G32)/COUNT($N$4:$BT$4)</f>
        <v>0.03</v>
      </c>
      <c r="O32" s="98">
        <f t="shared" si="23"/>
        <v>0.03</v>
      </c>
      <c r="P32" s="98">
        <f t="shared" si="23"/>
        <v>0.03</v>
      </c>
      <c r="Q32" s="98">
        <f t="shared" si="23"/>
        <v>0.03</v>
      </c>
      <c r="R32" s="98">
        <f t="shared" si="23"/>
        <v>0.03</v>
      </c>
      <c r="S32" s="98">
        <f t="shared" si="23"/>
        <v>0.03</v>
      </c>
      <c r="T32" s="98">
        <f t="shared" si="23"/>
        <v>0.03</v>
      </c>
      <c r="U32" s="98">
        <f t="shared" si="23"/>
        <v>0.03</v>
      </c>
      <c r="V32" s="98">
        <f t="shared" si="23"/>
        <v>0.03</v>
      </c>
      <c r="W32" s="98">
        <f t="shared" si="23"/>
        <v>0.03</v>
      </c>
      <c r="X32" s="98">
        <f t="shared" si="23"/>
        <v>0.03</v>
      </c>
      <c r="Y32" s="98">
        <f t="shared" si="23"/>
        <v>0.03</v>
      </c>
      <c r="Z32" s="98">
        <f t="shared" si="23"/>
        <v>0.03</v>
      </c>
      <c r="AA32" s="98">
        <f t="shared" si="23"/>
        <v>0.03</v>
      </c>
      <c r="AB32" s="98">
        <f t="shared" si="23"/>
        <v>0.03</v>
      </c>
      <c r="AC32" s="98">
        <f t="shared" si="23"/>
        <v>0.03</v>
      </c>
      <c r="AD32" s="98">
        <f t="shared" si="23"/>
        <v>0.03</v>
      </c>
      <c r="AE32" s="98">
        <f t="shared" si="23"/>
        <v>0.03</v>
      </c>
      <c r="AF32" s="98">
        <f t="shared" si="23"/>
        <v>0.03</v>
      </c>
      <c r="AG32" s="98">
        <f t="shared" si="23"/>
        <v>0.03</v>
      </c>
      <c r="AH32" s="98">
        <f t="shared" si="23"/>
        <v>0.03</v>
      </c>
      <c r="AI32" s="98">
        <f t="shared" si="23"/>
        <v>0.03</v>
      </c>
      <c r="AJ32" s="98">
        <f t="shared" si="23"/>
        <v>0.03</v>
      </c>
      <c r="AK32" s="98">
        <f t="shared" si="23"/>
        <v>0.03</v>
      </c>
      <c r="AL32" s="98">
        <f t="shared" si="23"/>
        <v>0.03</v>
      </c>
      <c r="AM32" s="98">
        <f t="shared" si="23"/>
        <v>0.03</v>
      </c>
      <c r="AN32" s="98">
        <f t="shared" si="23"/>
        <v>0.03</v>
      </c>
      <c r="AO32" s="98">
        <f t="shared" si="23"/>
        <v>0.03</v>
      </c>
      <c r="AP32" s="98">
        <f t="shared" si="23"/>
        <v>0.03</v>
      </c>
      <c r="AQ32" s="98">
        <f t="shared" si="23"/>
        <v>0.03</v>
      </c>
      <c r="AR32" s="98">
        <f t="shared" si="23"/>
        <v>0.03</v>
      </c>
      <c r="AS32" s="98">
        <f t="shared" si="23"/>
        <v>0.03</v>
      </c>
      <c r="AT32" s="98">
        <f t="shared" ref="AT32:BT32" si="24">AS32+($H32-$G32)/COUNT($N$4:$BT$4)</f>
        <v>0.03</v>
      </c>
      <c r="AU32" s="98">
        <f t="shared" si="24"/>
        <v>0.03</v>
      </c>
      <c r="AV32" s="98">
        <f t="shared" si="24"/>
        <v>0.03</v>
      </c>
      <c r="AW32" s="98">
        <f t="shared" si="24"/>
        <v>0.03</v>
      </c>
      <c r="AX32" s="98">
        <f t="shared" si="24"/>
        <v>0.03</v>
      </c>
      <c r="AY32" s="98">
        <f t="shared" si="24"/>
        <v>0.03</v>
      </c>
      <c r="AZ32" s="98">
        <f t="shared" si="24"/>
        <v>0.03</v>
      </c>
      <c r="BA32" s="98">
        <f t="shared" si="24"/>
        <v>0.03</v>
      </c>
      <c r="BB32" s="98">
        <f t="shared" si="24"/>
        <v>0.03</v>
      </c>
      <c r="BC32" s="98">
        <f t="shared" si="24"/>
        <v>0.03</v>
      </c>
      <c r="BD32" s="98">
        <f t="shared" si="24"/>
        <v>0.03</v>
      </c>
      <c r="BE32" s="98">
        <f t="shared" si="24"/>
        <v>0.03</v>
      </c>
      <c r="BF32" s="98">
        <f t="shared" si="24"/>
        <v>0.03</v>
      </c>
      <c r="BG32" s="98">
        <f t="shared" si="24"/>
        <v>0.03</v>
      </c>
      <c r="BH32" s="98">
        <f t="shared" si="24"/>
        <v>0.03</v>
      </c>
      <c r="BI32" s="98">
        <f t="shared" si="24"/>
        <v>0.03</v>
      </c>
      <c r="BJ32" s="98">
        <f t="shared" si="24"/>
        <v>0.03</v>
      </c>
      <c r="BK32" s="98">
        <f t="shared" si="24"/>
        <v>0.03</v>
      </c>
      <c r="BL32" s="98">
        <f t="shared" si="24"/>
        <v>0.03</v>
      </c>
      <c r="BM32" s="98">
        <f t="shared" si="24"/>
        <v>0.03</v>
      </c>
      <c r="BN32" s="98">
        <f t="shared" si="24"/>
        <v>0.03</v>
      </c>
      <c r="BO32" s="98">
        <f t="shared" si="24"/>
        <v>0.03</v>
      </c>
      <c r="BP32" s="98">
        <f t="shared" si="24"/>
        <v>0.03</v>
      </c>
      <c r="BQ32" s="98">
        <f t="shared" si="24"/>
        <v>0.03</v>
      </c>
      <c r="BR32" s="98">
        <f t="shared" si="24"/>
        <v>0.03</v>
      </c>
      <c r="BS32" s="98">
        <f t="shared" si="24"/>
        <v>0.03</v>
      </c>
      <c r="BT32" s="98">
        <f t="shared" si="24"/>
        <v>0.03</v>
      </c>
      <c r="BU32" s="40"/>
    </row>
    <row r="33" spans="1:78" ht="15.6">
      <c r="A33" s="97" t="s">
        <v>61</v>
      </c>
      <c r="B33" s="59"/>
      <c r="F33" s="60" t="s">
        <v>60</v>
      </c>
      <c r="G33" s="68">
        <v>0</v>
      </c>
      <c r="H33" s="68">
        <v>0</v>
      </c>
      <c r="I33" s="95"/>
      <c r="J33" s="12"/>
      <c r="K33" s="12"/>
      <c r="L33" s="12"/>
      <c r="M33" s="69">
        <f>G33</f>
        <v>0</v>
      </c>
      <c r="N33" s="69">
        <f t="shared" ref="N33:AS33" si="25">M33+($H33-$G33)/COUNT($N$4:$BT$4)</f>
        <v>0</v>
      </c>
      <c r="O33" s="69">
        <f t="shared" si="25"/>
        <v>0</v>
      </c>
      <c r="P33" s="69">
        <f t="shared" si="25"/>
        <v>0</v>
      </c>
      <c r="Q33" s="69">
        <f t="shared" si="25"/>
        <v>0</v>
      </c>
      <c r="R33" s="69">
        <f t="shared" si="25"/>
        <v>0</v>
      </c>
      <c r="S33" s="69">
        <f t="shared" si="25"/>
        <v>0</v>
      </c>
      <c r="T33" s="69">
        <f t="shared" si="25"/>
        <v>0</v>
      </c>
      <c r="U33" s="69">
        <f t="shared" si="25"/>
        <v>0</v>
      </c>
      <c r="V33" s="69">
        <f t="shared" si="25"/>
        <v>0</v>
      </c>
      <c r="W33" s="69">
        <f t="shared" si="25"/>
        <v>0</v>
      </c>
      <c r="X33" s="69">
        <f t="shared" si="25"/>
        <v>0</v>
      </c>
      <c r="Y33" s="69">
        <f t="shared" si="25"/>
        <v>0</v>
      </c>
      <c r="Z33" s="69">
        <f t="shared" si="25"/>
        <v>0</v>
      </c>
      <c r="AA33" s="69">
        <f t="shared" si="25"/>
        <v>0</v>
      </c>
      <c r="AB33" s="69">
        <f t="shared" si="25"/>
        <v>0</v>
      </c>
      <c r="AC33" s="69">
        <f t="shared" si="25"/>
        <v>0</v>
      </c>
      <c r="AD33" s="69">
        <f t="shared" si="25"/>
        <v>0</v>
      </c>
      <c r="AE33" s="69">
        <f t="shared" si="25"/>
        <v>0</v>
      </c>
      <c r="AF33" s="69">
        <f t="shared" si="25"/>
        <v>0</v>
      </c>
      <c r="AG33" s="69">
        <f t="shared" si="25"/>
        <v>0</v>
      </c>
      <c r="AH33" s="69">
        <f t="shared" si="25"/>
        <v>0</v>
      </c>
      <c r="AI33" s="69">
        <f t="shared" si="25"/>
        <v>0</v>
      </c>
      <c r="AJ33" s="69">
        <f t="shared" si="25"/>
        <v>0</v>
      </c>
      <c r="AK33" s="69">
        <f t="shared" si="25"/>
        <v>0</v>
      </c>
      <c r="AL33" s="69">
        <f t="shared" si="25"/>
        <v>0</v>
      </c>
      <c r="AM33" s="69">
        <f t="shared" si="25"/>
        <v>0</v>
      </c>
      <c r="AN33" s="69">
        <f t="shared" si="25"/>
        <v>0</v>
      </c>
      <c r="AO33" s="69">
        <f t="shared" si="25"/>
        <v>0</v>
      </c>
      <c r="AP33" s="69">
        <f t="shared" si="25"/>
        <v>0</v>
      </c>
      <c r="AQ33" s="69">
        <f t="shared" si="25"/>
        <v>0</v>
      </c>
      <c r="AR33" s="69">
        <f t="shared" si="25"/>
        <v>0</v>
      </c>
      <c r="AS33" s="69">
        <f t="shared" si="25"/>
        <v>0</v>
      </c>
      <c r="AT33" s="69">
        <f t="shared" ref="AT33:BT33" si="26">AS33+($H33-$G33)/COUNT($N$4:$BT$4)</f>
        <v>0</v>
      </c>
      <c r="AU33" s="69">
        <f t="shared" si="26"/>
        <v>0</v>
      </c>
      <c r="AV33" s="69">
        <f t="shared" si="26"/>
        <v>0</v>
      </c>
      <c r="AW33" s="69">
        <f t="shared" si="26"/>
        <v>0</v>
      </c>
      <c r="AX33" s="69">
        <f t="shared" si="26"/>
        <v>0</v>
      </c>
      <c r="AY33" s="69">
        <f t="shared" si="26"/>
        <v>0</v>
      </c>
      <c r="AZ33" s="69">
        <f t="shared" si="26"/>
        <v>0</v>
      </c>
      <c r="BA33" s="69">
        <f t="shared" si="26"/>
        <v>0</v>
      </c>
      <c r="BB33" s="69">
        <f t="shared" si="26"/>
        <v>0</v>
      </c>
      <c r="BC33" s="69">
        <f t="shared" si="26"/>
        <v>0</v>
      </c>
      <c r="BD33" s="69">
        <f t="shared" si="26"/>
        <v>0</v>
      </c>
      <c r="BE33" s="69">
        <f t="shared" si="26"/>
        <v>0</v>
      </c>
      <c r="BF33" s="69">
        <f t="shared" si="26"/>
        <v>0</v>
      </c>
      <c r="BG33" s="69">
        <f t="shared" si="26"/>
        <v>0</v>
      </c>
      <c r="BH33" s="69">
        <f t="shared" si="26"/>
        <v>0</v>
      </c>
      <c r="BI33" s="69">
        <f t="shared" si="26"/>
        <v>0</v>
      </c>
      <c r="BJ33" s="69">
        <f t="shared" si="26"/>
        <v>0</v>
      </c>
      <c r="BK33" s="69">
        <f t="shared" si="26"/>
        <v>0</v>
      </c>
      <c r="BL33" s="69">
        <f t="shared" si="26"/>
        <v>0</v>
      </c>
      <c r="BM33" s="69">
        <f t="shared" si="26"/>
        <v>0</v>
      </c>
      <c r="BN33" s="69">
        <f t="shared" si="26"/>
        <v>0</v>
      </c>
      <c r="BO33" s="69">
        <f t="shared" si="26"/>
        <v>0</v>
      </c>
      <c r="BP33" s="69">
        <f t="shared" si="26"/>
        <v>0</v>
      </c>
      <c r="BQ33" s="69">
        <f t="shared" si="26"/>
        <v>0</v>
      </c>
      <c r="BR33" s="69">
        <f t="shared" si="26"/>
        <v>0</v>
      </c>
      <c r="BS33" s="69">
        <f t="shared" si="26"/>
        <v>0</v>
      </c>
      <c r="BT33" s="69">
        <f t="shared" si="26"/>
        <v>0</v>
      </c>
      <c r="BU33" s="40"/>
    </row>
    <row r="34" spans="1:78" ht="15.6">
      <c r="A34" s="97" t="s">
        <v>62</v>
      </c>
      <c r="B34" s="59"/>
      <c r="F34" s="60" t="s">
        <v>60</v>
      </c>
      <c r="G34" s="68">
        <v>0</v>
      </c>
      <c r="H34" s="68">
        <v>0</v>
      </c>
      <c r="I34" s="95"/>
      <c r="J34" s="12"/>
      <c r="K34" s="12"/>
      <c r="L34" s="12"/>
      <c r="M34" s="98">
        <f>G34</f>
        <v>0</v>
      </c>
      <c r="N34" s="98">
        <f t="shared" ref="N34:AS34" si="27">M34+($H34-$G34)/COUNT($N$4:$BT$4)</f>
        <v>0</v>
      </c>
      <c r="O34" s="98">
        <f t="shared" si="27"/>
        <v>0</v>
      </c>
      <c r="P34" s="98">
        <f t="shared" si="27"/>
        <v>0</v>
      </c>
      <c r="Q34" s="98">
        <f t="shared" si="27"/>
        <v>0</v>
      </c>
      <c r="R34" s="98">
        <f t="shared" si="27"/>
        <v>0</v>
      </c>
      <c r="S34" s="98">
        <f t="shared" si="27"/>
        <v>0</v>
      </c>
      <c r="T34" s="98">
        <f t="shared" si="27"/>
        <v>0</v>
      </c>
      <c r="U34" s="98">
        <f t="shared" si="27"/>
        <v>0</v>
      </c>
      <c r="V34" s="98">
        <f t="shared" si="27"/>
        <v>0</v>
      </c>
      <c r="W34" s="98">
        <f t="shared" si="27"/>
        <v>0</v>
      </c>
      <c r="X34" s="98">
        <f t="shared" si="27"/>
        <v>0</v>
      </c>
      <c r="Y34" s="98">
        <f t="shared" si="27"/>
        <v>0</v>
      </c>
      <c r="Z34" s="98">
        <f t="shared" si="27"/>
        <v>0</v>
      </c>
      <c r="AA34" s="98">
        <f t="shared" si="27"/>
        <v>0</v>
      </c>
      <c r="AB34" s="98">
        <f t="shared" si="27"/>
        <v>0</v>
      </c>
      <c r="AC34" s="98">
        <f t="shared" si="27"/>
        <v>0</v>
      </c>
      <c r="AD34" s="98">
        <f t="shared" si="27"/>
        <v>0</v>
      </c>
      <c r="AE34" s="98">
        <f t="shared" si="27"/>
        <v>0</v>
      </c>
      <c r="AF34" s="98">
        <f t="shared" si="27"/>
        <v>0</v>
      </c>
      <c r="AG34" s="98">
        <f t="shared" si="27"/>
        <v>0</v>
      </c>
      <c r="AH34" s="98">
        <f t="shared" si="27"/>
        <v>0</v>
      </c>
      <c r="AI34" s="98">
        <f t="shared" si="27"/>
        <v>0</v>
      </c>
      <c r="AJ34" s="98">
        <f t="shared" si="27"/>
        <v>0</v>
      </c>
      <c r="AK34" s="98">
        <f t="shared" si="27"/>
        <v>0</v>
      </c>
      <c r="AL34" s="98">
        <f t="shared" si="27"/>
        <v>0</v>
      </c>
      <c r="AM34" s="98">
        <f t="shared" si="27"/>
        <v>0</v>
      </c>
      <c r="AN34" s="98">
        <f t="shared" si="27"/>
        <v>0</v>
      </c>
      <c r="AO34" s="98">
        <f t="shared" si="27"/>
        <v>0</v>
      </c>
      <c r="AP34" s="98">
        <f t="shared" si="27"/>
        <v>0</v>
      </c>
      <c r="AQ34" s="98">
        <f t="shared" si="27"/>
        <v>0</v>
      </c>
      <c r="AR34" s="98">
        <f t="shared" si="27"/>
        <v>0</v>
      </c>
      <c r="AS34" s="98">
        <f t="shared" si="27"/>
        <v>0</v>
      </c>
      <c r="AT34" s="98">
        <f t="shared" ref="AT34:BT34" si="28">AS34+($H34-$G34)/COUNT($N$4:$BT$4)</f>
        <v>0</v>
      </c>
      <c r="AU34" s="98">
        <f t="shared" si="28"/>
        <v>0</v>
      </c>
      <c r="AV34" s="98">
        <f t="shared" si="28"/>
        <v>0</v>
      </c>
      <c r="AW34" s="98">
        <f t="shared" si="28"/>
        <v>0</v>
      </c>
      <c r="AX34" s="98">
        <f t="shared" si="28"/>
        <v>0</v>
      </c>
      <c r="AY34" s="98">
        <f t="shared" si="28"/>
        <v>0</v>
      </c>
      <c r="AZ34" s="98">
        <f t="shared" si="28"/>
        <v>0</v>
      </c>
      <c r="BA34" s="98">
        <f t="shared" si="28"/>
        <v>0</v>
      </c>
      <c r="BB34" s="98">
        <f t="shared" si="28"/>
        <v>0</v>
      </c>
      <c r="BC34" s="98">
        <f t="shared" si="28"/>
        <v>0</v>
      </c>
      <c r="BD34" s="98">
        <f t="shared" si="28"/>
        <v>0</v>
      </c>
      <c r="BE34" s="98">
        <f t="shared" si="28"/>
        <v>0</v>
      </c>
      <c r="BF34" s="98">
        <f t="shared" si="28"/>
        <v>0</v>
      </c>
      <c r="BG34" s="98">
        <f t="shared" si="28"/>
        <v>0</v>
      </c>
      <c r="BH34" s="98">
        <f t="shared" si="28"/>
        <v>0</v>
      </c>
      <c r="BI34" s="98">
        <f t="shared" si="28"/>
        <v>0</v>
      </c>
      <c r="BJ34" s="98">
        <f t="shared" si="28"/>
        <v>0</v>
      </c>
      <c r="BK34" s="98">
        <f t="shared" si="28"/>
        <v>0</v>
      </c>
      <c r="BL34" s="98">
        <f t="shared" si="28"/>
        <v>0</v>
      </c>
      <c r="BM34" s="98">
        <f t="shared" si="28"/>
        <v>0</v>
      </c>
      <c r="BN34" s="98">
        <f t="shared" si="28"/>
        <v>0</v>
      </c>
      <c r="BO34" s="98">
        <f t="shared" si="28"/>
        <v>0</v>
      </c>
      <c r="BP34" s="98">
        <f t="shared" si="28"/>
        <v>0</v>
      </c>
      <c r="BQ34" s="98">
        <f t="shared" si="28"/>
        <v>0</v>
      </c>
      <c r="BR34" s="98">
        <f t="shared" si="28"/>
        <v>0</v>
      </c>
      <c r="BS34" s="98">
        <f t="shared" si="28"/>
        <v>0</v>
      </c>
      <c r="BT34" s="98">
        <f t="shared" si="28"/>
        <v>0</v>
      </c>
      <c r="BU34" s="40"/>
    </row>
    <row r="35" spans="1:78" ht="15.6">
      <c r="A35" s="78" t="s">
        <v>63</v>
      </c>
      <c r="B35" s="59"/>
      <c r="F35" s="59"/>
      <c r="G35" s="94"/>
      <c r="H35" s="94"/>
      <c r="I35" s="95"/>
      <c r="J35" s="12"/>
      <c r="K35" s="99"/>
      <c r="L35" s="12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40"/>
    </row>
    <row r="36" spans="1:78" ht="15.6">
      <c r="A36" s="97" t="s">
        <v>64</v>
      </c>
      <c r="B36" s="59"/>
      <c r="F36" s="60" t="s">
        <v>65</v>
      </c>
      <c r="G36" s="64">
        <v>10</v>
      </c>
      <c r="H36" s="64">
        <v>10</v>
      </c>
      <c r="I36" s="59"/>
      <c r="M36" s="63">
        <f>G36</f>
        <v>10</v>
      </c>
      <c r="N36" s="63">
        <f t="shared" ref="N36:AS36" si="29">M36+($H36-$G36)/COUNT($N$4:$BT$4)</f>
        <v>10</v>
      </c>
      <c r="O36" s="63">
        <f t="shared" si="29"/>
        <v>10</v>
      </c>
      <c r="P36" s="63">
        <f t="shared" si="29"/>
        <v>10</v>
      </c>
      <c r="Q36" s="63">
        <f t="shared" si="29"/>
        <v>10</v>
      </c>
      <c r="R36" s="63">
        <f t="shared" si="29"/>
        <v>10</v>
      </c>
      <c r="S36" s="63">
        <f t="shared" si="29"/>
        <v>10</v>
      </c>
      <c r="T36" s="63">
        <f t="shared" si="29"/>
        <v>10</v>
      </c>
      <c r="U36" s="63">
        <f t="shared" si="29"/>
        <v>10</v>
      </c>
      <c r="V36" s="63">
        <f t="shared" si="29"/>
        <v>10</v>
      </c>
      <c r="W36" s="63">
        <f t="shared" si="29"/>
        <v>10</v>
      </c>
      <c r="X36" s="63">
        <f t="shared" si="29"/>
        <v>10</v>
      </c>
      <c r="Y36" s="63">
        <f t="shared" si="29"/>
        <v>10</v>
      </c>
      <c r="Z36" s="63">
        <f t="shared" si="29"/>
        <v>10</v>
      </c>
      <c r="AA36" s="63">
        <f t="shared" si="29"/>
        <v>10</v>
      </c>
      <c r="AB36" s="63">
        <f t="shared" si="29"/>
        <v>10</v>
      </c>
      <c r="AC36" s="63">
        <f t="shared" si="29"/>
        <v>10</v>
      </c>
      <c r="AD36" s="63">
        <f t="shared" si="29"/>
        <v>10</v>
      </c>
      <c r="AE36" s="63">
        <f t="shared" si="29"/>
        <v>10</v>
      </c>
      <c r="AF36" s="63">
        <f t="shared" si="29"/>
        <v>10</v>
      </c>
      <c r="AG36" s="63">
        <f t="shared" si="29"/>
        <v>10</v>
      </c>
      <c r="AH36" s="63">
        <f t="shared" si="29"/>
        <v>10</v>
      </c>
      <c r="AI36" s="63">
        <f t="shared" si="29"/>
        <v>10</v>
      </c>
      <c r="AJ36" s="63">
        <f t="shared" si="29"/>
        <v>10</v>
      </c>
      <c r="AK36" s="63">
        <f t="shared" si="29"/>
        <v>10</v>
      </c>
      <c r="AL36" s="63">
        <f t="shared" si="29"/>
        <v>10</v>
      </c>
      <c r="AM36" s="63">
        <f t="shared" si="29"/>
        <v>10</v>
      </c>
      <c r="AN36" s="63">
        <f t="shared" si="29"/>
        <v>10</v>
      </c>
      <c r="AO36" s="63">
        <f t="shared" si="29"/>
        <v>10</v>
      </c>
      <c r="AP36" s="63">
        <f t="shared" si="29"/>
        <v>10</v>
      </c>
      <c r="AQ36" s="63">
        <f t="shared" si="29"/>
        <v>10</v>
      </c>
      <c r="AR36" s="63">
        <f t="shared" si="29"/>
        <v>10</v>
      </c>
      <c r="AS36" s="63">
        <f t="shared" si="29"/>
        <v>10</v>
      </c>
      <c r="AT36" s="63">
        <f t="shared" ref="AT36:BT36" si="30">AS36+($H36-$G36)/COUNT($N$4:$BT$4)</f>
        <v>10</v>
      </c>
      <c r="AU36" s="63">
        <f t="shared" si="30"/>
        <v>10</v>
      </c>
      <c r="AV36" s="63">
        <f t="shared" si="30"/>
        <v>10</v>
      </c>
      <c r="AW36" s="63">
        <f t="shared" si="30"/>
        <v>10</v>
      </c>
      <c r="AX36" s="63">
        <f t="shared" si="30"/>
        <v>10</v>
      </c>
      <c r="AY36" s="63">
        <f t="shared" si="30"/>
        <v>10</v>
      </c>
      <c r="AZ36" s="63">
        <f t="shared" si="30"/>
        <v>10</v>
      </c>
      <c r="BA36" s="63">
        <f t="shared" si="30"/>
        <v>10</v>
      </c>
      <c r="BB36" s="63">
        <f t="shared" si="30"/>
        <v>10</v>
      </c>
      <c r="BC36" s="63">
        <f t="shared" si="30"/>
        <v>10</v>
      </c>
      <c r="BD36" s="63">
        <f t="shared" si="30"/>
        <v>10</v>
      </c>
      <c r="BE36" s="63">
        <f t="shared" si="30"/>
        <v>10</v>
      </c>
      <c r="BF36" s="63">
        <f t="shared" si="30"/>
        <v>10</v>
      </c>
      <c r="BG36" s="63">
        <f t="shared" si="30"/>
        <v>10</v>
      </c>
      <c r="BH36" s="63">
        <f t="shared" si="30"/>
        <v>10</v>
      </c>
      <c r="BI36" s="63">
        <f t="shared" si="30"/>
        <v>10</v>
      </c>
      <c r="BJ36" s="63">
        <f t="shared" si="30"/>
        <v>10</v>
      </c>
      <c r="BK36" s="63">
        <f t="shared" si="30"/>
        <v>10</v>
      </c>
      <c r="BL36" s="63">
        <f t="shared" si="30"/>
        <v>10</v>
      </c>
      <c r="BM36" s="63">
        <f t="shared" si="30"/>
        <v>10</v>
      </c>
      <c r="BN36" s="63">
        <f t="shared" si="30"/>
        <v>10</v>
      </c>
      <c r="BO36" s="63">
        <f t="shared" si="30"/>
        <v>10</v>
      </c>
      <c r="BP36" s="63">
        <f t="shared" si="30"/>
        <v>10</v>
      </c>
      <c r="BQ36" s="63">
        <f t="shared" si="30"/>
        <v>10</v>
      </c>
      <c r="BR36" s="63">
        <f t="shared" si="30"/>
        <v>10</v>
      </c>
      <c r="BS36" s="63">
        <f t="shared" si="30"/>
        <v>10</v>
      </c>
      <c r="BT36" s="63">
        <f t="shared" si="30"/>
        <v>10</v>
      </c>
      <c r="BU36" s="40"/>
    </row>
    <row r="37" spans="1:78" ht="15.6">
      <c r="A37" s="97" t="s">
        <v>66</v>
      </c>
      <c r="B37" s="59"/>
      <c r="F37" s="60"/>
      <c r="G37" s="64"/>
      <c r="H37" s="64"/>
      <c r="I37" s="59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40"/>
    </row>
    <row r="38" spans="1:78" ht="15.6">
      <c r="A38" s="78" t="s">
        <v>67</v>
      </c>
      <c r="B38" s="59"/>
      <c r="F38" s="59"/>
      <c r="I38" s="59"/>
      <c r="BU38" s="40"/>
    </row>
    <row r="39" spans="1:78" ht="15.6">
      <c r="A39" t="str">
        <f>A36</f>
        <v>Client Success Manager</v>
      </c>
      <c r="B39" s="59"/>
      <c r="F39" s="60" t="s">
        <v>68</v>
      </c>
      <c r="G39" s="61">
        <v>1200</v>
      </c>
      <c r="H39" s="68">
        <v>0.05</v>
      </c>
      <c r="I39" s="59" t="s">
        <v>49</v>
      </c>
      <c r="BU39" s="40"/>
    </row>
    <row r="40" spans="1:78" ht="15.6">
      <c r="B40" s="59"/>
      <c r="F40" s="60" t="s">
        <v>68</v>
      </c>
      <c r="G40" s="61">
        <v>0</v>
      </c>
      <c r="H40" s="68">
        <v>0.05</v>
      </c>
      <c r="I40" s="59" t="s">
        <v>49</v>
      </c>
      <c r="BU40" s="40"/>
    </row>
    <row r="41" spans="1:78" ht="15.6">
      <c r="A41" s="100" t="s">
        <v>69</v>
      </c>
      <c r="B41" s="84"/>
      <c r="C41" s="101"/>
      <c r="D41" s="101"/>
      <c r="E41" s="101"/>
      <c r="F41" s="84"/>
      <c r="G41" s="101" t="s">
        <v>70</v>
      </c>
      <c r="H41" s="101" t="s">
        <v>71</v>
      </c>
      <c r="I41" s="84" t="s">
        <v>72</v>
      </c>
      <c r="J41" s="101" t="s">
        <v>73</v>
      </c>
      <c r="K41" s="101" t="s">
        <v>74</v>
      </c>
      <c r="L41" s="101"/>
      <c r="M41" s="101"/>
      <c r="N41" s="102"/>
      <c r="O41" s="102"/>
      <c r="P41" s="102"/>
      <c r="Q41" s="102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83"/>
      <c r="BV41" s="101"/>
      <c r="BW41" s="101"/>
      <c r="BX41" s="101"/>
      <c r="BY41" s="101"/>
      <c r="BZ41" s="101"/>
    </row>
    <row r="42" spans="1:78" ht="15.6">
      <c r="A42" s="97" t="s">
        <v>75</v>
      </c>
      <c r="B42" s="59"/>
      <c r="F42" s="59"/>
      <c r="G42" s="64">
        <v>500</v>
      </c>
      <c r="H42" s="61">
        <f>G42*(1+20%)</f>
        <v>600</v>
      </c>
      <c r="I42" s="103">
        <f>H42*(1+40%)</f>
        <v>840</v>
      </c>
      <c r="J42" s="93">
        <f>I42*(1+0%)</f>
        <v>840</v>
      </c>
      <c r="K42" s="93">
        <f>J42</f>
        <v>840</v>
      </c>
      <c r="M42" s="104">
        <f t="shared" ref="M42:AJ42" si="31">$H$42</f>
        <v>600</v>
      </c>
      <c r="N42" s="104">
        <f t="shared" si="31"/>
        <v>600</v>
      </c>
      <c r="O42" s="104">
        <f t="shared" si="31"/>
        <v>600</v>
      </c>
      <c r="P42" s="104">
        <f t="shared" si="31"/>
        <v>600</v>
      </c>
      <c r="Q42" s="104">
        <f t="shared" si="31"/>
        <v>600</v>
      </c>
      <c r="R42" s="104">
        <f t="shared" si="31"/>
        <v>600</v>
      </c>
      <c r="S42" s="104">
        <f t="shared" si="31"/>
        <v>600</v>
      </c>
      <c r="T42" s="104">
        <f t="shared" si="31"/>
        <v>600</v>
      </c>
      <c r="U42" s="104">
        <f t="shared" si="31"/>
        <v>600</v>
      </c>
      <c r="V42" s="104">
        <f t="shared" si="31"/>
        <v>600</v>
      </c>
      <c r="W42" s="104">
        <f t="shared" si="31"/>
        <v>600</v>
      </c>
      <c r="X42" s="104">
        <f t="shared" si="31"/>
        <v>600</v>
      </c>
      <c r="Y42" s="105">
        <f t="shared" si="31"/>
        <v>600</v>
      </c>
      <c r="Z42" s="105">
        <f t="shared" si="31"/>
        <v>600</v>
      </c>
      <c r="AA42" s="105">
        <f t="shared" si="31"/>
        <v>600</v>
      </c>
      <c r="AB42" s="105">
        <f t="shared" si="31"/>
        <v>600</v>
      </c>
      <c r="AC42" s="105">
        <f t="shared" si="31"/>
        <v>600</v>
      </c>
      <c r="AD42" s="105">
        <f t="shared" si="31"/>
        <v>600</v>
      </c>
      <c r="AE42" s="105">
        <f t="shared" si="31"/>
        <v>600</v>
      </c>
      <c r="AF42" s="105">
        <f t="shared" si="31"/>
        <v>600</v>
      </c>
      <c r="AG42" s="105">
        <f t="shared" si="31"/>
        <v>600</v>
      </c>
      <c r="AH42" s="105">
        <f t="shared" si="31"/>
        <v>600</v>
      </c>
      <c r="AI42" s="105">
        <f t="shared" si="31"/>
        <v>600</v>
      </c>
      <c r="AJ42" s="105">
        <f t="shared" si="31"/>
        <v>600</v>
      </c>
      <c r="AK42" s="105">
        <f t="shared" ref="AK42:AV42" si="32">$I$42</f>
        <v>840</v>
      </c>
      <c r="AL42" s="105">
        <f t="shared" si="32"/>
        <v>840</v>
      </c>
      <c r="AM42" s="105">
        <f t="shared" si="32"/>
        <v>840</v>
      </c>
      <c r="AN42" s="105">
        <f t="shared" si="32"/>
        <v>840</v>
      </c>
      <c r="AO42" s="105">
        <f t="shared" si="32"/>
        <v>840</v>
      </c>
      <c r="AP42" s="105">
        <f t="shared" si="32"/>
        <v>840</v>
      </c>
      <c r="AQ42" s="105">
        <f t="shared" si="32"/>
        <v>840</v>
      </c>
      <c r="AR42" s="105">
        <f t="shared" si="32"/>
        <v>840</v>
      </c>
      <c r="AS42" s="105">
        <f t="shared" si="32"/>
        <v>840</v>
      </c>
      <c r="AT42" s="105">
        <f t="shared" si="32"/>
        <v>840</v>
      </c>
      <c r="AU42" s="105">
        <f t="shared" si="32"/>
        <v>840</v>
      </c>
      <c r="AV42" s="105">
        <f t="shared" si="32"/>
        <v>840</v>
      </c>
      <c r="AW42" s="105">
        <f t="shared" ref="AW42:BH42" si="33">$J$42</f>
        <v>840</v>
      </c>
      <c r="AX42" s="105">
        <f t="shared" si="33"/>
        <v>840</v>
      </c>
      <c r="AY42" s="105">
        <f t="shared" si="33"/>
        <v>840</v>
      </c>
      <c r="AZ42" s="105">
        <f t="shared" si="33"/>
        <v>840</v>
      </c>
      <c r="BA42" s="105">
        <f t="shared" si="33"/>
        <v>840</v>
      </c>
      <c r="BB42" s="105">
        <f t="shared" si="33"/>
        <v>840</v>
      </c>
      <c r="BC42" s="105">
        <f t="shared" si="33"/>
        <v>840</v>
      </c>
      <c r="BD42" s="105">
        <f t="shared" si="33"/>
        <v>840</v>
      </c>
      <c r="BE42" s="105">
        <f t="shared" si="33"/>
        <v>840</v>
      </c>
      <c r="BF42" s="105">
        <f t="shared" si="33"/>
        <v>840</v>
      </c>
      <c r="BG42" s="105">
        <f t="shared" si="33"/>
        <v>840</v>
      </c>
      <c r="BH42" s="105">
        <f t="shared" si="33"/>
        <v>840</v>
      </c>
      <c r="BI42" s="105">
        <f t="shared" ref="BI42:BT42" si="34">$K$42</f>
        <v>840</v>
      </c>
      <c r="BJ42" s="105">
        <f t="shared" si="34"/>
        <v>840</v>
      </c>
      <c r="BK42" s="105">
        <f t="shared" si="34"/>
        <v>840</v>
      </c>
      <c r="BL42" s="105">
        <f t="shared" si="34"/>
        <v>840</v>
      </c>
      <c r="BM42" s="105">
        <f t="shared" si="34"/>
        <v>840</v>
      </c>
      <c r="BN42" s="105">
        <f t="shared" si="34"/>
        <v>840</v>
      </c>
      <c r="BO42" s="105">
        <f t="shared" si="34"/>
        <v>840</v>
      </c>
      <c r="BP42" s="105">
        <f t="shared" si="34"/>
        <v>840</v>
      </c>
      <c r="BQ42" s="105">
        <f t="shared" si="34"/>
        <v>840</v>
      </c>
      <c r="BR42" s="105">
        <f t="shared" si="34"/>
        <v>840</v>
      </c>
      <c r="BS42" s="105">
        <f t="shared" si="34"/>
        <v>840</v>
      </c>
      <c r="BT42" s="105">
        <f t="shared" si="34"/>
        <v>840</v>
      </c>
      <c r="BU42" s="40"/>
    </row>
    <row r="43" spans="1:78" ht="15.6">
      <c r="A43" s="78" t="s">
        <v>76</v>
      </c>
      <c r="B43" s="59"/>
      <c r="F43" s="59"/>
      <c r="I43" s="59"/>
      <c r="BU43" s="40"/>
      <c r="BV43" s="58">
        <f>SUMIF($M$3:$BT$3,BV$3,$M42:$BT42)</f>
        <v>7200</v>
      </c>
      <c r="BW43" s="58">
        <f>SUMIF($M$3:$BT$3,BW$3,$M42:$BT42)</f>
        <v>7200</v>
      </c>
      <c r="BX43" s="58">
        <f>SUMIF($M$3:$BT$3,BX$3,$M42:$BT42)</f>
        <v>10080</v>
      </c>
      <c r="BY43" s="58">
        <f>SUMIF($M$3:$BT$3,BY$3,$M42:$BT42)</f>
        <v>10080</v>
      </c>
      <c r="BZ43" s="58">
        <f>SUMIF($M$3:$BT$3,BZ$3,$M42:$BT42)</f>
        <v>10080</v>
      </c>
    </row>
    <row r="44" spans="1:78" ht="15.6">
      <c r="A44" t="s">
        <v>77</v>
      </c>
      <c r="B44" s="59"/>
      <c r="F44" s="60" t="s">
        <v>68</v>
      </c>
      <c r="G44" s="61">
        <v>0</v>
      </c>
      <c r="H44" s="68">
        <v>0.05</v>
      </c>
      <c r="I44" s="59" t="s">
        <v>49</v>
      </c>
      <c r="M44" s="66">
        <v>0</v>
      </c>
      <c r="N44" s="66">
        <f t="shared" ref="N44:AS44" si="35">M44</f>
        <v>0</v>
      </c>
      <c r="O44" s="66">
        <f t="shared" si="35"/>
        <v>0</v>
      </c>
      <c r="P44" s="66">
        <f t="shared" si="35"/>
        <v>0</v>
      </c>
      <c r="Q44" s="66">
        <f t="shared" si="35"/>
        <v>0</v>
      </c>
      <c r="R44" s="66">
        <f t="shared" si="35"/>
        <v>0</v>
      </c>
      <c r="S44" s="66">
        <f t="shared" si="35"/>
        <v>0</v>
      </c>
      <c r="T44" s="66">
        <f t="shared" si="35"/>
        <v>0</v>
      </c>
      <c r="U44" s="66">
        <f t="shared" si="35"/>
        <v>0</v>
      </c>
      <c r="V44" s="66">
        <f t="shared" si="35"/>
        <v>0</v>
      </c>
      <c r="W44" s="66">
        <f t="shared" si="35"/>
        <v>0</v>
      </c>
      <c r="X44" s="66">
        <f t="shared" si="35"/>
        <v>0</v>
      </c>
      <c r="Y44" s="66">
        <f t="shared" si="35"/>
        <v>0</v>
      </c>
      <c r="Z44" s="66">
        <f t="shared" si="35"/>
        <v>0</v>
      </c>
      <c r="AA44" s="66">
        <f t="shared" si="35"/>
        <v>0</v>
      </c>
      <c r="AB44" s="66">
        <f t="shared" si="35"/>
        <v>0</v>
      </c>
      <c r="AC44" s="66">
        <f t="shared" si="35"/>
        <v>0</v>
      </c>
      <c r="AD44" s="66">
        <f t="shared" si="35"/>
        <v>0</v>
      </c>
      <c r="AE44" s="66">
        <f t="shared" si="35"/>
        <v>0</v>
      </c>
      <c r="AF44" s="66">
        <f t="shared" si="35"/>
        <v>0</v>
      </c>
      <c r="AG44" s="66">
        <f t="shared" si="35"/>
        <v>0</v>
      </c>
      <c r="AH44" s="66">
        <f t="shared" si="35"/>
        <v>0</v>
      </c>
      <c r="AI44" s="66">
        <f t="shared" si="35"/>
        <v>0</v>
      </c>
      <c r="AJ44" s="66">
        <f t="shared" si="35"/>
        <v>0</v>
      </c>
      <c r="AK44" s="66">
        <f t="shared" si="35"/>
        <v>0</v>
      </c>
      <c r="AL44" s="66">
        <f t="shared" si="35"/>
        <v>0</v>
      </c>
      <c r="AM44" s="66">
        <f t="shared" si="35"/>
        <v>0</v>
      </c>
      <c r="AN44" s="66">
        <f t="shared" si="35"/>
        <v>0</v>
      </c>
      <c r="AO44" s="66">
        <f t="shared" si="35"/>
        <v>0</v>
      </c>
      <c r="AP44" s="66">
        <f t="shared" si="35"/>
        <v>0</v>
      </c>
      <c r="AQ44" s="66">
        <f t="shared" si="35"/>
        <v>0</v>
      </c>
      <c r="AR44" s="66">
        <f t="shared" si="35"/>
        <v>0</v>
      </c>
      <c r="AS44" s="66">
        <f t="shared" si="35"/>
        <v>0</v>
      </c>
      <c r="AT44" s="66">
        <f t="shared" ref="AT44:BT44" si="36">AS44</f>
        <v>0</v>
      </c>
      <c r="AU44" s="66">
        <f t="shared" si="36"/>
        <v>0</v>
      </c>
      <c r="AV44" s="66">
        <f t="shared" si="36"/>
        <v>0</v>
      </c>
      <c r="AW44" s="66">
        <f t="shared" si="36"/>
        <v>0</v>
      </c>
      <c r="AX44" s="66">
        <f t="shared" si="36"/>
        <v>0</v>
      </c>
      <c r="AY44" s="66">
        <f t="shared" si="36"/>
        <v>0</v>
      </c>
      <c r="AZ44" s="66">
        <f t="shared" si="36"/>
        <v>0</v>
      </c>
      <c r="BA44" s="66">
        <f t="shared" si="36"/>
        <v>0</v>
      </c>
      <c r="BB44" s="66">
        <f t="shared" si="36"/>
        <v>0</v>
      </c>
      <c r="BC44" s="66">
        <f t="shared" si="36"/>
        <v>0</v>
      </c>
      <c r="BD44" s="66">
        <f t="shared" si="36"/>
        <v>0</v>
      </c>
      <c r="BE44" s="66">
        <f t="shared" si="36"/>
        <v>0</v>
      </c>
      <c r="BF44" s="66">
        <f t="shared" si="36"/>
        <v>0</v>
      </c>
      <c r="BG44" s="66">
        <f t="shared" si="36"/>
        <v>0</v>
      </c>
      <c r="BH44" s="66">
        <f t="shared" si="36"/>
        <v>0</v>
      </c>
      <c r="BI44" s="66">
        <f t="shared" si="36"/>
        <v>0</v>
      </c>
      <c r="BJ44" s="66">
        <f t="shared" si="36"/>
        <v>0</v>
      </c>
      <c r="BK44" s="66">
        <f t="shared" si="36"/>
        <v>0</v>
      </c>
      <c r="BL44" s="66">
        <f t="shared" si="36"/>
        <v>0</v>
      </c>
      <c r="BM44" s="66">
        <f t="shared" si="36"/>
        <v>0</v>
      </c>
      <c r="BN44" s="66">
        <f t="shared" si="36"/>
        <v>0</v>
      </c>
      <c r="BO44" s="66">
        <f t="shared" si="36"/>
        <v>0</v>
      </c>
      <c r="BP44" s="66">
        <f t="shared" si="36"/>
        <v>0</v>
      </c>
      <c r="BQ44" s="66">
        <f t="shared" si="36"/>
        <v>0</v>
      </c>
      <c r="BR44" s="66">
        <f t="shared" si="36"/>
        <v>0</v>
      </c>
      <c r="BS44" s="66">
        <f t="shared" si="36"/>
        <v>0</v>
      </c>
      <c r="BT44" s="66">
        <f t="shared" si="36"/>
        <v>0</v>
      </c>
      <c r="BU44" s="40"/>
    </row>
    <row r="45" spans="1:78" ht="15.6">
      <c r="A45" t="s">
        <v>77</v>
      </c>
      <c r="B45" s="59"/>
      <c r="F45" s="60" t="s">
        <v>68</v>
      </c>
      <c r="G45" s="61">
        <v>0</v>
      </c>
      <c r="H45" s="68">
        <v>0.05</v>
      </c>
      <c r="I45" s="59" t="s">
        <v>49</v>
      </c>
      <c r="M45" s="66">
        <v>0</v>
      </c>
      <c r="N45" s="66">
        <f t="shared" ref="N45:AS45" si="37">M45</f>
        <v>0</v>
      </c>
      <c r="O45" s="66">
        <f t="shared" si="37"/>
        <v>0</v>
      </c>
      <c r="P45" s="66">
        <f t="shared" si="37"/>
        <v>0</v>
      </c>
      <c r="Q45" s="66">
        <f t="shared" si="37"/>
        <v>0</v>
      </c>
      <c r="R45" s="66">
        <f t="shared" si="37"/>
        <v>0</v>
      </c>
      <c r="S45" s="66">
        <f t="shared" si="37"/>
        <v>0</v>
      </c>
      <c r="T45" s="66">
        <f t="shared" si="37"/>
        <v>0</v>
      </c>
      <c r="U45" s="66">
        <f t="shared" si="37"/>
        <v>0</v>
      </c>
      <c r="V45" s="66">
        <f t="shared" si="37"/>
        <v>0</v>
      </c>
      <c r="W45" s="66">
        <f t="shared" si="37"/>
        <v>0</v>
      </c>
      <c r="X45" s="66">
        <f t="shared" si="37"/>
        <v>0</v>
      </c>
      <c r="Y45" s="66">
        <f t="shared" si="37"/>
        <v>0</v>
      </c>
      <c r="Z45" s="66">
        <f t="shared" si="37"/>
        <v>0</v>
      </c>
      <c r="AA45" s="66">
        <f t="shared" si="37"/>
        <v>0</v>
      </c>
      <c r="AB45" s="66">
        <f t="shared" si="37"/>
        <v>0</v>
      </c>
      <c r="AC45" s="66">
        <f t="shared" si="37"/>
        <v>0</v>
      </c>
      <c r="AD45" s="66">
        <f t="shared" si="37"/>
        <v>0</v>
      </c>
      <c r="AE45" s="66">
        <f t="shared" si="37"/>
        <v>0</v>
      </c>
      <c r="AF45" s="66">
        <f t="shared" si="37"/>
        <v>0</v>
      </c>
      <c r="AG45" s="66">
        <f t="shared" si="37"/>
        <v>0</v>
      </c>
      <c r="AH45" s="66">
        <f t="shared" si="37"/>
        <v>0</v>
      </c>
      <c r="AI45" s="66">
        <f t="shared" si="37"/>
        <v>0</v>
      </c>
      <c r="AJ45" s="66">
        <f t="shared" si="37"/>
        <v>0</v>
      </c>
      <c r="AK45" s="66">
        <f t="shared" si="37"/>
        <v>0</v>
      </c>
      <c r="AL45" s="66">
        <f t="shared" si="37"/>
        <v>0</v>
      </c>
      <c r="AM45" s="66">
        <f t="shared" si="37"/>
        <v>0</v>
      </c>
      <c r="AN45" s="66">
        <f t="shared" si="37"/>
        <v>0</v>
      </c>
      <c r="AO45" s="66">
        <f t="shared" si="37"/>
        <v>0</v>
      </c>
      <c r="AP45" s="66">
        <f t="shared" si="37"/>
        <v>0</v>
      </c>
      <c r="AQ45" s="66">
        <f t="shared" si="37"/>
        <v>0</v>
      </c>
      <c r="AR45" s="66">
        <f t="shared" si="37"/>
        <v>0</v>
      </c>
      <c r="AS45" s="66">
        <f t="shared" si="37"/>
        <v>0</v>
      </c>
      <c r="AT45" s="66">
        <f t="shared" ref="AT45:BT45" si="38">AS45</f>
        <v>0</v>
      </c>
      <c r="AU45" s="66">
        <f t="shared" si="38"/>
        <v>0</v>
      </c>
      <c r="AV45" s="66">
        <f t="shared" si="38"/>
        <v>0</v>
      </c>
      <c r="AW45" s="66">
        <f t="shared" si="38"/>
        <v>0</v>
      </c>
      <c r="AX45" s="66">
        <f t="shared" si="38"/>
        <v>0</v>
      </c>
      <c r="AY45" s="66">
        <f t="shared" si="38"/>
        <v>0</v>
      </c>
      <c r="AZ45" s="66">
        <f t="shared" si="38"/>
        <v>0</v>
      </c>
      <c r="BA45" s="66">
        <f t="shared" si="38"/>
        <v>0</v>
      </c>
      <c r="BB45" s="66">
        <f t="shared" si="38"/>
        <v>0</v>
      </c>
      <c r="BC45" s="66">
        <f t="shared" si="38"/>
        <v>0</v>
      </c>
      <c r="BD45" s="66">
        <f t="shared" si="38"/>
        <v>0</v>
      </c>
      <c r="BE45" s="66">
        <f t="shared" si="38"/>
        <v>0</v>
      </c>
      <c r="BF45" s="66">
        <f t="shared" si="38"/>
        <v>0</v>
      </c>
      <c r="BG45" s="66">
        <f t="shared" si="38"/>
        <v>0</v>
      </c>
      <c r="BH45" s="66">
        <f t="shared" si="38"/>
        <v>0</v>
      </c>
      <c r="BI45" s="66">
        <f t="shared" si="38"/>
        <v>0</v>
      </c>
      <c r="BJ45" s="66">
        <f t="shared" si="38"/>
        <v>0</v>
      </c>
      <c r="BK45" s="66">
        <f t="shared" si="38"/>
        <v>0</v>
      </c>
      <c r="BL45" s="66">
        <f t="shared" si="38"/>
        <v>0</v>
      </c>
      <c r="BM45" s="66">
        <f t="shared" si="38"/>
        <v>0</v>
      </c>
      <c r="BN45" s="66">
        <f t="shared" si="38"/>
        <v>0</v>
      </c>
      <c r="BO45" s="66">
        <f t="shared" si="38"/>
        <v>0</v>
      </c>
      <c r="BP45" s="66">
        <f t="shared" si="38"/>
        <v>0</v>
      </c>
      <c r="BQ45" s="66">
        <f t="shared" si="38"/>
        <v>0</v>
      </c>
      <c r="BR45" s="66">
        <f t="shared" si="38"/>
        <v>0</v>
      </c>
      <c r="BS45" s="66">
        <f t="shared" si="38"/>
        <v>0</v>
      </c>
      <c r="BT45" s="66">
        <f t="shared" si="38"/>
        <v>0</v>
      </c>
      <c r="BU45" s="40"/>
    </row>
    <row r="46" spans="1:78" ht="15.6">
      <c r="A46" t="s">
        <v>77</v>
      </c>
      <c r="B46" s="59"/>
      <c r="F46" s="60" t="s">
        <v>68</v>
      </c>
      <c r="G46" s="61">
        <v>0</v>
      </c>
      <c r="H46" s="68">
        <v>0.05</v>
      </c>
      <c r="I46" s="59" t="s">
        <v>49</v>
      </c>
      <c r="M46" s="66">
        <v>0</v>
      </c>
      <c r="N46" s="66">
        <f t="shared" ref="N46:AS46" si="39">M46</f>
        <v>0</v>
      </c>
      <c r="O46" s="66">
        <f t="shared" si="39"/>
        <v>0</v>
      </c>
      <c r="P46" s="66">
        <f t="shared" si="39"/>
        <v>0</v>
      </c>
      <c r="Q46" s="66">
        <f t="shared" si="39"/>
        <v>0</v>
      </c>
      <c r="R46" s="66">
        <f t="shared" si="39"/>
        <v>0</v>
      </c>
      <c r="S46" s="66">
        <f t="shared" si="39"/>
        <v>0</v>
      </c>
      <c r="T46" s="66">
        <f t="shared" si="39"/>
        <v>0</v>
      </c>
      <c r="U46" s="66">
        <f t="shared" si="39"/>
        <v>0</v>
      </c>
      <c r="V46" s="66">
        <f t="shared" si="39"/>
        <v>0</v>
      </c>
      <c r="W46" s="66">
        <f t="shared" si="39"/>
        <v>0</v>
      </c>
      <c r="X46" s="66">
        <f t="shared" si="39"/>
        <v>0</v>
      </c>
      <c r="Y46" s="66">
        <f t="shared" si="39"/>
        <v>0</v>
      </c>
      <c r="Z46" s="66">
        <f t="shared" si="39"/>
        <v>0</v>
      </c>
      <c r="AA46" s="66">
        <f t="shared" si="39"/>
        <v>0</v>
      </c>
      <c r="AB46" s="66">
        <f t="shared" si="39"/>
        <v>0</v>
      </c>
      <c r="AC46" s="66">
        <f t="shared" si="39"/>
        <v>0</v>
      </c>
      <c r="AD46" s="66">
        <f t="shared" si="39"/>
        <v>0</v>
      </c>
      <c r="AE46" s="66">
        <f t="shared" si="39"/>
        <v>0</v>
      </c>
      <c r="AF46" s="66">
        <f t="shared" si="39"/>
        <v>0</v>
      </c>
      <c r="AG46" s="66">
        <f t="shared" si="39"/>
        <v>0</v>
      </c>
      <c r="AH46" s="66">
        <f t="shared" si="39"/>
        <v>0</v>
      </c>
      <c r="AI46" s="66">
        <f t="shared" si="39"/>
        <v>0</v>
      </c>
      <c r="AJ46" s="66">
        <f t="shared" si="39"/>
        <v>0</v>
      </c>
      <c r="AK46" s="66">
        <f t="shared" si="39"/>
        <v>0</v>
      </c>
      <c r="AL46" s="66">
        <f t="shared" si="39"/>
        <v>0</v>
      </c>
      <c r="AM46" s="66">
        <f t="shared" si="39"/>
        <v>0</v>
      </c>
      <c r="AN46" s="66">
        <f t="shared" si="39"/>
        <v>0</v>
      </c>
      <c r="AO46" s="66">
        <f t="shared" si="39"/>
        <v>0</v>
      </c>
      <c r="AP46" s="66">
        <f t="shared" si="39"/>
        <v>0</v>
      </c>
      <c r="AQ46" s="66">
        <f t="shared" si="39"/>
        <v>0</v>
      </c>
      <c r="AR46" s="66">
        <f t="shared" si="39"/>
        <v>0</v>
      </c>
      <c r="AS46" s="66">
        <f t="shared" si="39"/>
        <v>0</v>
      </c>
      <c r="AT46" s="66">
        <f t="shared" ref="AT46:BT46" si="40">AS46</f>
        <v>0</v>
      </c>
      <c r="AU46" s="66">
        <f t="shared" si="40"/>
        <v>0</v>
      </c>
      <c r="AV46" s="66">
        <f t="shared" si="40"/>
        <v>0</v>
      </c>
      <c r="AW46" s="66">
        <f t="shared" si="40"/>
        <v>0</v>
      </c>
      <c r="AX46" s="66">
        <f t="shared" si="40"/>
        <v>0</v>
      </c>
      <c r="AY46" s="66">
        <f t="shared" si="40"/>
        <v>0</v>
      </c>
      <c r="AZ46" s="66">
        <f t="shared" si="40"/>
        <v>0</v>
      </c>
      <c r="BA46" s="66">
        <f t="shared" si="40"/>
        <v>0</v>
      </c>
      <c r="BB46" s="66">
        <f t="shared" si="40"/>
        <v>0</v>
      </c>
      <c r="BC46" s="66">
        <f t="shared" si="40"/>
        <v>0</v>
      </c>
      <c r="BD46" s="66">
        <f t="shared" si="40"/>
        <v>0</v>
      </c>
      <c r="BE46" s="66">
        <f t="shared" si="40"/>
        <v>0</v>
      </c>
      <c r="BF46" s="66">
        <f t="shared" si="40"/>
        <v>0</v>
      </c>
      <c r="BG46" s="66">
        <f t="shared" si="40"/>
        <v>0</v>
      </c>
      <c r="BH46" s="66">
        <f t="shared" si="40"/>
        <v>0</v>
      </c>
      <c r="BI46" s="66">
        <f t="shared" si="40"/>
        <v>0</v>
      </c>
      <c r="BJ46" s="66">
        <f t="shared" si="40"/>
        <v>0</v>
      </c>
      <c r="BK46" s="66">
        <f t="shared" si="40"/>
        <v>0</v>
      </c>
      <c r="BL46" s="66">
        <f t="shared" si="40"/>
        <v>0</v>
      </c>
      <c r="BM46" s="66">
        <f t="shared" si="40"/>
        <v>0</v>
      </c>
      <c r="BN46" s="66">
        <f t="shared" si="40"/>
        <v>0</v>
      </c>
      <c r="BO46" s="66">
        <f t="shared" si="40"/>
        <v>0</v>
      </c>
      <c r="BP46" s="66">
        <f t="shared" si="40"/>
        <v>0</v>
      </c>
      <c r="BQ46" s="66">
        <f t="shared" si="40"/>
        <v>0</v>
      </c>
      <c r="BR46" s="66">
        <f t="shared" si="40"/>
        <v>0</v>
      </c>
      <c r="BS46" s="66">
        <f t="shared" si="40"/>
        <v>0</v>
      </c>
      <c r="BT46" s="66">
        <f t="shared" si="40"/>
        <v>0</v>
      </c>
      <c r="BU46" s="40"/>
    </row>
    <row r="47" spans="1:78" ht="15.6">
      <c r="A47" t="s">
        <v>77</v>
      </c>
      <c r="B47" s="59"/>
      <c r="F47" s="60" t="s">
        <v>68</v>
      </c>
      <c r="G47" s="61">
        <v>0</v>
      </c>
      <c r="H47" s="68">
        <v>0.05</v>
      </c>
      <c r="I47" s="59" t="s">
        <v>49</v>
      </c>
      <c r="M47" s="66">
        <v>0</v>
      </c>
      <c r="N47" s="66">
        <f t="shared" ref="N47:AS47" si="41">M47</f>
        <v>0</v>
      </c>
      <c r="O47" s="66">
        <f t="shared" si="41"/>
        <v>0</v>
      </c>
      <c r="P47" s="66">
        <f t="shared" si="41"/>
        <v>0</v>
      </c>
      <c r="Q47" s="66">
        <f t="shared" si="41"/>
        <v>0</v>
      </c>
      <c r="R47" s="66">
        <f t="shared" si="41"/>
        <v>0</v>
      </c>
      <c r="S47" s="66">
        <f t="shared" si="41"/>
        <v>0</v>
      </c>
      <c r="T47" s="66">
        <f t="shared" si="41"/>
        <v>0</v>
      </c>
      <c r="U47" s="66">
        <f t="shared" si="41"/>
        <v>0</v>
      </c>
      <c r="V47" s="66">
        <f t="shared" si="41"/>
        <v>0</v>
      </c>
      <c r="W47" s="66">
        <f t="shared" si="41"/>
        <v>0</v>
      </c>
      <c r="X47" s="66">
        <f t="shared" si="41"/>
        <v>0</v>
      </c>
      <c r="Y47" s="66">
        <f t="shared" si="41"/>
        <v>0</v>
      </c>
      <c r="Z47" s="66">
        <f t="shared" si="41"/>
        <v>0</v>
      </c>
      <c r="AA47" s="66">
        <f t="shared" si="41"/>
        <v>0</v>
      </c>
      <c r="AB47" s="66">
        <f t="shared" si="41"/>
        <v>0</v>
      </c>
      <c r="AC47" s="66">
        <f t="shared" si="41"/>
        <v>0</v>
      </c>
      <c r="AD47" s="66">
        <f t="shared" si="41"/>
        <v>0</v>
      </c>
      <c r="AE47" s="66">
        <f t="shared" si="41"/>
        <v>0</v>
      </c>
      <c r="AF47" s="66">
        <f t="shared" si="41"/>
        <v>0</v>
      </c>
      <c r="AG47" s="66">
        <f t="shared" si="41"/>
        <v>0</v>
      </c>
      <c r="AH47" s="66">
        <f t="shared" si="41"/>
        <v>0</v>
      </c>
      <c r="AI47" s="66">
        <f t="shared" si="41"/>
        <v>0</v>
      </c>
      <c r="AJ47" s="66">
        <f t="shared" si="41"/>
        <v>0</v>
      </c>
      <c r="AK47" s="66">
        <f t="shared" si="41"/>
        <v>0</v>
      </c>
      <c r="AL47" s="66">
        <f t="shared" si="41"/>
        <v>0</v>
      </c>
      <c r="AM47" s="66">
        <f t="shared" si="41"/>
        <v>0</v>
      </c>
      <c r="AN47" s="66">
        <f t="shared" si="41"/>
        <v>0</v>
      </c>
      <c r="AO47" s="66">
        <f t="shared" si="41"/>
        <v>0</v>
      </c>
      <c r="AP47" s="66">
        <f t="shared" si="41"/>
        <v>0</v>
      </c>
      <c r="AQ47" s="66">
        <f t="shared" si="41"/>
        <v>0</v>
      </c>
      <c r="AR47" s="66">
        <f t="shared" si="41"/>
        <v>0</v>
      </c>
      <c r="AS47" s="66">
        <f t="shared" si="41"/>
        <v>0</v>
      </c>
      <c r="AT47" s="66">
        <f t="shared" ref="AT47:BT47" si="42">AS47</f>
        <v>0</v>
      </c>
      <c r="AU47" s="66">
        <f t="shared" si="42"/>
        <v>0</v>
      </c>
      <c r="AV47" s="66">
        <f t="shared" si="42"/>
        <v>0</v>
      </c>
      <c r="AW47" s="66">
        <f t="shared" si="42"/>
        <v>0</v>
      </c>
      <c r="AX47" s="66">
        <f t="shared" si="42"/>
        <v>0</v>
      </c>
      <c r="AY47" s="66">
        <f t="shared" si="42"/>
        <v>0</v>
      </c>
      <c r="AZ47" s="66">
        <f t="shared" si="42"/>
        <v>0</v>
      </c>
      <c r="BA47" s="66">
        <f t="shared" si="42"/>
        <v>0</v>
      </c>
      <c r="BB47" s="66">
        <f t="shared" si="42"/>
        <v>0</v>
      </c>
      <c r="BC47" s="66">
        <f t="shared" si="42"/>
        <v>0</v>
      </c>
      <c r="BD47" s="66">
        <f t="shared" si="42"/>
        <v>0</v>
      </c>
      <c r="BE47" s="66">
        <f t="shared" si="42"/>
        <v>0</v>
      </c>
      <c r="BF47" s="66">
        <f t="shared" si="42"/>
        <v>0</v>
      </c>
      <c r="BG47" s="66">
        <f t="shared" si="42"/>
        <v>0</v>
      </c>
      <c r="BH47" s="66">
        <f t="shared" si="42"/>
        <v>0</v>
      </c>
      <c r="BI47" s="66">
        <f t="shared" si="42"/>
        <v>0</v>
      </c>
      <c r="BJ47" s="66">
        <f t="shared" si="42"/>
        <v>0</v>
      </c>
      <c r="BK47" s="66">
        <f t="shared" si="42"/>
        <v>0</v>
      </c>
      <c r="BL47" s="66">
        <f t="shared" si="42"/>
        <v>0</v>
      </c>
      <c r="BM47" s="66">
        <f t="shared" si="42"/>
        <v>0</v>
      </c>
      <c r="BN47" s="66">
        <f t="shared" si="42"/>
        <v>0</v>
      </c>
      <c r="BO47" s="66">
        <f t="shared" si="42"/>
        <v>0</v>
      </c>
      <c r="BP47" s="66">
        <f t="shared" si="42"/>
        <v>0</v>
      </c>
      <c r="BQ47" s="66">
        <f t="shared" si="42"/>
        <v>0</v>
      </c>
      <c r="BR47" s="66">
        <f t="shared" si="42"/>
        <v>0</v>
      </c>
      <c r="BS47" s="66">
        <f t="shared" si="42"/>
        <v>0</v>
      </c>
      <c r="BT47" s="66">
        <f t="shared" si="42"/>
        <v>0</v>
      </c>
      <c r="BU47" s="40"/>
    </row>
    <row r="48" spans="1:78" ht="15.6">
      <c r="A48" t="s">
        <v>77</v>
      </c>
      <c r="B48" s="59"/>
      <c r="F48" s="60" t="s">
        <v>68</v>
      </c>
      <c r="G48" s="61">
        <v>0</v>
      </c>
      <c r="H48" s="68">
        <v>0.05</v>
      </c>
      <c r="I48" s="59" t="s">
        <v>49</v>
      </c>
      <c r="M48" s="66">
        <v>0</v>
      </c>
      <c r="N48" s="66">
        <f t="shared" ref="N48:AS48" si="43">M48</f>
        <v>0</v>
      </c>
      <c r="O48" s="66">
        <f t="shared" si="43"/>
        <v>0</v>
      </c>
      <c r="P48" s="66">
        <f t="shared" si="43"/>
        <v>0</v>
      </c>
      <c r="Q48" s="66">
        <f t="shared" si="43"/>
        <v>0</v>
      </c>
      <c r="R48" s="66">
        <f t="shared" si="43"/>
        <v>0</v>
      </c>
      <c r="S48" s="66">
        <f t="shared" si="43"/>
        <v>0</v>
      </c>
      <c r="T48" s="66">
        <f t="shared" si="43"/>
        <v>0</v>
      </c>
      <c r="U48" s="66">
        <f t="shared" si="43"/>
        <v>0</v>
      </c>
      <c r="V48" s="66">
        <f t="shared" si="43"/>
        <v>0</v>
      </c>
      <c r="W48" s="66">
        <f t="shared" si="43"/>
        <v>0</v>
      </c>
      <c r="X48" s="66">
        <f t="shared" si="43"/>
        <v>0</v>
      </c>
      <c r="Y48" s="66">
        <f t="shared" si="43"/>
        <v>0</v>
      </c>
      <c r="Z48" s="66">
        <f t="shared" si="43"/>
        <v>0</v>
      </c>
      <c r="AA48" s="66">
        <f t="shared" si="43"/>
        <v>0</v>
      </c>
      <c r="AB48" s="66">
        <f t="shared" si="43"/>
        <v>0</v>
      </c>
      <c r="AC48" s="66">
        <f t="shared" si="43"/>
        <v>0</v>
      </c>
      <c r="AD48" s="66">
        <f t="shared" si="43"/>
        <v>0</v>
      </c>
      <c r="AE48" s="66">
        <f t="shared" si="43"/>
        <v>0</v>
      </c>
      <c r="AF48" s="66">
        <f t="shared" si="43"/>
        <v>0</v>
      </c>
      <c r="AG48" s="66">
        <f t="shared" si="43"/>
        <v>0</v>
      </c>
      <c r="AH48" s="66">
        <f t="shared" si="43"/>
        <v>0</v>
      </c>
      <c r="AI48" s="66">
        <f t="shared" si="43"/>
        <v>0</v>
      </c>
      <c r="AJ48" s="66">
        <f t="shared" si="43"/>
        <v>0</v>
      </c>
      <c r="AK48" s="66">
        <f t="shared" si="43"/>
        <v>0</v>
      </c>
      <c r="AL48" s="66">
        <f t="shared" si="43"/>
        <v>0</v>
      </c>
      <c r="AM48" s="66">
        <f t="shared" si="43"/>
        <v>0</v>
      </c>
      <c r="AN48" s="66">
        <f t="shared" si="43"/>
        <v>0</v>
      </c>
      <c r="AO48" s="66">
        <f t="shared" si="43"/>
        <v>0</v>
      </c>
      <c r="AP48" s="66">
        <f t="shared" si="43"/>
        <v>0</v>
      </c>
      <c r="AQ48" s="66">
        <f t="shared" si="43"/>
        <v>0</v>
      </c>
      <c r="AR48" s="66">
        <f t="shared" si="43"/>
        <v>0</v>
      </c>
      <c r="AS48" s="66">
        <f t="shared" si="43"/>
        <v>0</v>
      </c>
      <c r="AT48" s="66">
        <f t="shared" ref="AT48:BT48" si="44">AS48</f>
        <v>0</v>
      </c>
      <c r="AU48" s="66">
        <f t="shared" si="44"/>
        <v>0</v>
      </c>
      <c r="AV48" s="66">
        <f t="shared" si="44"/>
        <v>0</v>
      </c>
      <c r="AW48" s="66">
        <f t="shared" si="44"/>
        <v>0</v>
      </c>
      <c r="AX48" s="66">
        <f t="shared" si="44"/>
        <v>0</v>
      </c>
      <c r="AY48" s="66">
        <f t="shared" si="44"/>
        <v>0</v>
      </c>
      <c r="AZ48" s="66">
        <f t="shared" si="44"/>
        <v>0</v>
      </c>
      <c r="BA48" s="66">
        <f t="shared" si="44"/>
        <v>0</v>
      </c>
      <c r="BB48" s="66">
        <f t="shared" si="44"/>
        <v>0</v>
      </c>
      <c r="BC48" s="66">
        <f t="shared" si="44"/>
        <v>0</v>
      </c>
      <c r="BD48" s="66">
        <f t="shared" si="44"/>
        <v>0</v>
      </c>
      <c r="BE48" s="66">
        <f t="shared" si="44"/>
        <v>0</v>
      </c>
      <c r="BF48" s="66">
        <f t="shared" si="44"/>
        <v>0</v>
      </c>
      <c r="BG48" s="66">
        <f t="shared" si="44"/>
        <v>0</v>
      </c>
      <c r="BH48" s="66">
        <f t="shared" si="44"/>
        <v>0</v>
      </c>
      <c r="BI48" s="66">
        <f t="shared" si="44"/>
        <v>0</v>
      </c>
      <c r="BJ48" s="66">
        <f t="shared" si="44"/>
        <v>0</v>
      </c>
      <c r="BK48" s="66">
        <f t="shared" si="44"/>
        <v>0</v>
      </c>
      <c r="BL48" s="66">
        <f t="shared" si="44"/>
        <v>0</v>
      </c>
      <c r="BM48" s="66">
        <f t="shared" si="44"/>
        <v>0</v>
      </c>
      <c r="BN48" s="66">
        <f t="shared" si="44"/>
        <v>0</v>
      </c>
      <c r="BO48" s="66">
        <f t="shared" si="44"/>
        <v>0</v>
      </c>
      <c r="BP48" s="66">
        <f t="shared" si="44"/>
        <v>0</v>
      </c>
      <c r="BQ48" s="66">
        <f t="shared" si="44"/>
        <v>0</v>
      </c>
      <c r="BR48" s="66">
        <f t="shared" si="44"/>
        <v>0</v>
      </c>
      <c r="BS48" s="66">
        <f t="shared" si="44"/>
        <v>0</v>
      </c>
      <c r="BT48" s="66">
        <f t="shared" si="44"/>
        <v>0</v>
      </c>
      <c r="BU48" s="40"/>
    </row>
    <row r="49" spans="1:78" ht="15.6">
      <c r="A49" t="s">
        <v>77</v>
      </c>
      <c r="B49" s="59"/>
      <c r="F49" s="60" t="s">
        <v>68</v>
      </c>
      <c r="G49" s="61">
        <v>0</v>
      </c>
      <c r="H49" s="68">
        <v>0.05</v>
      </c>
      <c r="I49" s="59" t="s">
        <v>49</v>
      </c>
      <c r="M49" s="66">
        <v>0</v>
      </c>
      <c r="N49" s="66">
        <f t="shared" ref="N49:AS49" si="45">M49</f>
        <v>0</v>
      </c>
      <c r="O49" s="66">
        <f t="shared" si="45"/>
        <v>0</v>
      </c>
      <c r="P49" s="66">
        <f t="shared" si="45"/>
        <v>0</v>
      </c>
      <c r="Q49" s="66">
        <f t="shared" si="45"/>
        <v>0</v>
      </c>
      <c r="R49" s="66">
        <f t="shared" si="45"/>
        <v>0</v>
      </c>
      <c r="S49" s="66">
        <f t="shared" si="45"/>
        <v>0</v>
      </c>
      <c r="T49" s="66">
        <f t="shared" si="45"/>
        <v>0</v>
      </c>
      <c r="U49" s="66">
        <f t="shared" si="45"/>
        <v>0</v>
      </c>
      <c r="V49" s="66">
        <f t="shared" si="45"/>
        <v>0</v>
      </c>
      <c r="W49" s="66">
        <f t="shared" si="45"/>
        <v>0</v>
      </c>
      <c r="X49" s="66">
        <f t="shared" si="45"/>
        <v>0</v>
      </c>
      <c r="Y49" s="66">
        <f t="shared" si="45"/>
        <v>0</v>
      </c>
      <c r="Z49" s="66">
        <f t="shared" si="45"/>
        <v>0</v>
      </c>
      <c r="AA49" s="66">
        <f t="shared" si="45"/>
        <v>0</v>
      </c>
      <c r="AB49" s="66">
        <f t="shared" si="45"/>
        <v>0</v>
      </c>
      <c r="AC49" s="66">
        <f t="shared" si="45"/>
        <v>0</v>
      </c>
      <c r="AD49" s="66">
        <f t="shared" si="45"/>
        <v>0</v>
      </c>
      <c r="AE49" s="66">
        <f t="shared" si="45"/>
        <v>0</v>
      </c>
      <c r="AF49" s="66">
        <f t="shared" si="45"/>
        <v>0</v>
      </c>
      <c r="AG49" s="66">
        <f t="shared" si="45"/>
        <v>0</v>
      </c>
      <c r="AH49" s="66">
        <f t="shared" si="45"/>
        <v>0</v>
      </c>
      <c r="AI49" s="66">
        <f t="shared" si="45"/>
        <v>0</v>
      </c>
      <c r="AJ49" s="66">
        <f t="shared" si="45"/>
        <v>0</v>
      </c>
      <c r="AK49" s="66">
        <f t="shared" si="45"/>
        <v>0</v>
      </c>
      <c r="AL49" s="66">
        <f t="shared" si="45"/>
        <v>0</v>
      </c>
      <c r="AM49" s="66">
        <f t="shared" si="45"/>
        <v>0</v>
      </c>
      <c r="AN49" s="66">
        <f t="shared" si="45"/>
        <v>0</v>
      </c>
      <c r="AO49" s="66">
        <f t="shared" si="45"/>
        <v>0</v>
      </c>
      <c r="AP49" s="66">
        <f t="shared" si="45"/>
        <v>0</v>
      </c>
      <c r="AQ49" s="66">
        <f t="shared" si="45"/>
        <v>0</v>
      </c>
      <c r="AR49" s="66">
        <f t="shared" si="45"/>
        <v>0</v>
      </c>
      <c r="AS49" s="66">
        <f t="shared" si="45"/>
        <v>0</v>
      </c>
      <c r="AT49" s="66">
        <f t="shared" ref="AT49:BT49" si="46">AS49</f>
        <v>0</v>
      </c>
      <c r="AU49" s="66">
        <f t="shared" si="46"/>
        <v>0</v>
      </c>
      <c r="AV49" s="66">
        <f t="shared" si="46"/>
        <v>0</v>
      </c>
      <c r="AW49" s="66">
        <f t="shared" si="46"/>
        <v>0</v>
      </c>
      <c r="AX49" s="66">
        <f t="shared" si="46"/>
        <v>0</v>
      </c>
      <c r="AY49" s="66">
        <f t="shared" si="46"/>
        <v>0</v>
      </c>
      <c r="AZ49" s="66">
        <f t="shared" si="46"/>
        <v>0</v>
      </c>
      <c r="BA49" s="66">
        <f t="shared" si="46"/>
        <v>0</v>
      </c>
      <c r="BB49" s="66">
        <f t="shared" si="46"/>
        <v>0</v>
      </c>
      <c r="BC49" s="66">
        <f t="shared" si="46"/>
        <v>0</v>
      </c>
      <c r="BD49" s="66">
        <f t="shared" si="46"/>
        <v>0</v>
      </c>
      <c r="BE49" s="66">
        <f t="shared" si="46"/>
        <v>0</v>
      </c>
      <c r="BF49" s="66">
        <f t="shared" si="46"/>
        <v>0</v>
      </c>
      <c r="BG49" s="66">
        <f t="shared" si="46"/>
        <v>0</v>
      </c>
      <c r="BH49" s="66">
        <f t="shared" si="46"/>
        <v>0</v>
      </c>
      <c r="BI49" s="66">
        <f t="shared" si="46"/>
        <v>0</v>
      </c>
      <c r="BJ49" s="66">
        <f t="shared" si="46"/>
        <v>0</v>
      </c>
      <c r="BK49" s="66">
        <f t="shared" si="46"/>
        <v>0</v>
      </c>
      <c r="BL49" s="66">
        <f t="shared" si="46"/>
        <v>0</v>
      </c>
      <c r="BM49" s="66">
        <f t="shared" si="46"/>
        <v>0</v>
      </c>
      <c r="BN49" s="66">
        <f t="shared" si="46"/>
        <v>0</v>
      </c>
      <c r="BO49" s="66">
        <f t="shared" si="46"/>
        <v>0</v>
      </c>
      <c r="BP49" s="66">
        <f t="shared" si="46"/>
        <v>0</v>
      </c>
      <c r="BQ49" s="66">
        <f t="shared" si="46"/>
        <v>0</v>
      </c>
      <c r="BR49" s="66">
        <f t="shared" si="46"/>
        <v>0</v>
      </c>
      <c r="BS49" s="66">
        <f t="shared" si="46"/>
        <v>0</v>
      </c>
      <c r="BT49" s="66">
        <f t="shared" si="46"/>
        <v>0</v>
      </c>
      <c r="BU49" s="40"/>
    </row>
    <row r="50" spans="1:78" ht="15.6">
      <c r="A50" s="100" t="s">
        <v>78</v>
      </c>
      <c r="B50" s="84"/>
      <c r="C50" s="101"/>
      <c r="D50" s="101"/>
      <c r="E50" s="101"/>
      <c r="F50" s="84"/>
      <c r="G50" s="101"/>
      <c r="H50" s="101"/>
      <c r="I50" s="84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83"/>
      <c r="BV50" s="101"/>
      <c r="BW50" s="101"/>
      <c r="BX50" s="101"/>
      <c r="BY50" s="101"/>
      <c r="BZ50" s="101"/>
    </row>
    <row r="51" spans="1:78" ht="15.6">
      <c r="A51" t="s">
        <v>79</v>
      </c>
      <c r="B51" s="59"/>
      <c r="E51" s="12"/>
      <c r="F51" s="106" t="s">
        <v>80</v>
      </c>
      <c r="G51" s="61">
        <f>7000/$G$7</f>
        <v>82.188564048373834</v>
      </c>
      <c r="H51" s="61">
        <f>G51*(1+6%)^5</f>
        <v>109.9868385957497</v>
      </c>
      <c r="I51" s="95"/>
      <c r="M51" s="63">
        <f>G51</f>
        <v>82.188564048373834</v>
      </c>
      <c r="N51" s="63">
        <f t="shared" ref="N51:AS51" si="47">M51+($H51-$G51)/COUNT($N$4:$BT$4)</f>
        <v>82.659721244092069</v>
      </c>
      <c r="O51" s="63">
        <f t="shared" si="47"/>
        <v>83.130878439810303</v>
      </c>
      <c r="P51" s="63">
        <f t="shared" si="47"/>
        <v>83.602035635528537</v>
      </c>
      <c r="Q51" s="63">
        <f t="shared" si="47"/>
        <v>84.073192831246772</v>
      </c>
      <c r="R51" s="63">
        <f t="shared" si="47"/>
        <v>84.544350026965006</v>
      </c>
      <c r="S51" s="63">
        <f t="shared" si="47"/>
        <v>85.01550722268324</v>
      </c>
      <c r="T51" s="63">
        <f t="shared" si="47"/>
        <v>85.486664418401475</v>
      </c>
      <c r="U51" s="63">
        <f t="shared" si="47"/>
        <v>85.957821614119709</v>
      </c>
      <c r="V51" s="63">
        <f t="shared" si="47"/>
        <v>86.428978809837943</v>
      </c>
      <c r="W51" s="63">
        <f t="shared" si="47"/>
        <v>86.900136005556178</v>
      </c>
      <c r="X51" s="63">
        <f t="shared" si="47"/>
        <v>87.371293201274412</v>
      </c>
      <c r="Y51" s="63">
        <f t="shared" si="47"/>
        <v>87.842450396992646</v>
      </c>
      <c r="Z51" s="63">
        <f t="shared" si="47"/>
        <v>88.313607592710881</v>
      </c>
      <c r="AA51" s="63">
        <f t="shared" si="47"/>
        <v>88.784764788429115</v>
      </c>
      <c r="AB51" s="63">
        <f t="shared" si="47"/>
        <v>89.255921984147349</v>
      </c>
      <c r="AC51" s="63">
        <f t="shared" si="47"/>
        <v>89.727079179865584</v>
      </c>
      <c r="AD51" s="63">
        <f t="shared" si="47"/>
        <v>90.198236375583818</v>
      </c>
      <c r="AE51" s="63">
        <f t="shared" si="47"/>
        <v>90.669393571302052</v>
      </c>
      <c r="AF51" s="63">
        <f t="shared" si="47"/>
        <v>91.140550767020287</v>
      </c>
      <c r="AG51" s="63">
        <f t="shared" si="47"/>
        <v>91.611707962738521</v>
      </c>
      <c r="AH51" s="63">
        <f t="shared" si="47"/>
        <v>92.082865158456755</v>
      </c>
      <c r="AI51" s="63">
        <f t="shared" si="47"/>
        <v>92.55402235417499</v>
      </c>
      <c r="AJ51" s="63">
        <f t="shared" si="47"/>
        <v>93.025179549893224</v>
      </c>
      <c r="AK51" s="63">
        <f t="shared" si="47"/>
        <v>93.496336745611458</v>
      </c>
      <c r="AL51" s="63">
        <f t="shared" si="47"/>
        <v>93.967493941329693</v>
      </c>
      <c r="AM51" s="63">
        <f t="shared" si="47"/>
        <v>94.438651137047927</v>
      </c>
      <c r="AN51" s="63">
        <f t="shared" si="47"/>
        <v>94.909808332766161</v>
      </c>
      <c r="AO51" s="63">
        <f t="shared" si="47"/>
        <v>95.380965528484396</v>
      </c>
      <c r="AP51" s="63">
        <f t="shared" si="47"/>
        <v>95.85212272420263</v>
      </c>
      <c r="AQ51" s="63">
        <f t="shared" si="47"/>
        <v>96.323279919920864</v>
      </c>
      <c r="AR51" s="63">
        <f t="shared" si="47"/>
        <v>96.794437115639099</v>
      </c>
      <c r="AS51" s="63">
        <f t="shared" si="47"/>
        <v>97.265594311357333</v>
      </c>
      <c r="AT51" s="63">
        <f t="shared" ref="AT51:BT51" si="48">AS51+($H51-$G51)/COUNT($N$4:$BT$4)</f>
        <v>97.736751507075567</v>
      </c>
      <c r="AU51" s="63">
        <f t="shared" si="48"/>
        <v>98.207908702793802</v>
      </c>
      <c r="AV51" s="63">
        <f t="shared" si="48"/>
        <v>98.679065898512036</v>
      </c>
      <c r="AW51" s="63">
        <f t="shared" si="48"/>
        <v>99.15022309423027</v>
      </c>
      <c r="AX51" s="63">
        <f t="shared" si="48"/>
        <v>99.621380289948505</v>
      </c>
      <c r="AY51" s="63">
        <f t="shared" si="48"/>
        <v>100.09253748566674</v>
      </c>
      <c r="AZ51" s="63">
        <f t="shared" si="48"/>
        <v>100.56369468138497</v>
      </c>
      <c r="BA51" s="63">
        <f t="shared" si="48"/>
        <v>101.03485187710321</v>
      </c>
      <c r="BB51" s="63">
        <f t="shared" si="48"/>
        <v>101.50600907282144</v>
      </c>
      <c r="BC51" s="63">
        <f t="shared" si="48"/>
        <v>101.97716626853968</v>
      </c>
      <c r="BD51" s="63">
        <f t="shared" si="48"/>
        <v>102.44832346425791</v>
      </c>
      <c r="BE51" s="63">
        <f t="shared" si="48"/>
        <v>102.91948065997614</v>
      </c>
      <c r="BF51" s="63">
        <f t="shared" si="48"/>
        <v>103.39063785569438</v>
      </c>
      <c r="BG51" s="63">
        <f t="shared" si="48"/>
        <v>103.86179505141261</v>
      </c>
      <c r="BH51" s="63">
        <f t="shared" si="48"/>
        <v>104.33295224713085</v>
      </c>
      <c r="BI51" s="63">
        <f t="shared" si="48"/>
        <v>104.80410944284908</v>
      </c>
      <c r="BJ51" s="63">
        <f t="shared" si="48"/>
        <v>105.27526663856732</v>
      </c>
      <c r="BK51" s="63">
        <f t="shared" si="48"/>
        <v>105.74642383428555</v>
      </c>
      <c r="BL51" s="63">
        <f t="shared" si="48"/>
        <v>106.21758103000379</v>
      </c>
      <c r="BM51" s="63">
        <f t="shared" si="48"/>
        <v>106.68873822572202</v>
      </c>
      <c r="BN51" s="63">
        <f t="shared" si="48"/>
        <v>107.15989542144025</v>
      </c>
      <c r="BO51" s="63">
        <f t="shared" si="48"/>
        <v>107.63105261715849</v>
      </c>
      <c r="BP51" s="63">
        <f t="shared" si="48"/>
        <v>108.10220981287672</v>
      </c>
      <c r="BQ51" s="63">
        <f t="shared" si="48"/>
        <v>108.57336700859496</v>
      </c>
      <c r="BR51" s="63">
        <f t="shared" si="48"/>
        <v>109.04452420431319</v>
      </c>
      <c r="BS51" s="63">
        <f t="shared" si="48"/>
        <v>109.51568140003143</v>
      </c>
      <c r="BT51" s="63">
        <f t="shared" si="48"/>
        <v>109.98683859574966</v>
      </c>
      <c r="BU51" s="40"/>
      <c r="BV51" s="58">
        <f t="shared" ref="BV51:BZ52" si="49">SUMIF($M$3:$BT$3,BV$3,$M51:$BT51)</f>
        <v>1017.3591434978895</v>
      </c>
      <c r="BW51" s="58">
        <f t="shared" si="49"/>
        <v>1085.2057796813153</v>
      </c>
      <c r="BX51" s="58">
        <f t="shared" si="49"/>
        <v>1153.0524158647411</v>
      </c>
      <c r="BY51" s="58">
        <f t="shared" si="49"/>
        <v>1220.8990520481666</v>
      </c>
      <c r="BZ51" s="58">
        <f t="shared" si="49"/>
        <v>1288.7456882315923</v>
      </c>
    </row>
    <row r="52" spans="1:78" ht="15.6">
      <c r="A52" t="s">
        <v>81</v>
      </c>
      <c r="B52" s="59"/>
      <c r="E52" s="12"/>
      <c r="F52" s="106" t="s">
        <v>82</v>
      </c>
      <c r="G52" s="61">
        <f>5000/$G$7</f>
        <v>58.706117177409887</v>
      </c>
      <c r="H52" s="61">
        <f>G52*(1+6%)^5</f>
        <v>78.562027568392651</v>
      </c>
      <c r="I52" s="95"/>
      <c r="M52" s="63">
        <f>G52</f>
        <v>58.706117177409887</v>
      </c>
      <c r="N52" s="63">
        <f t="shared" ref="N52:AS52" si="50">M52+($H52-$G52)/COUNT($N$4:$BT$4)</f>
        <v>59.042658031494341</v>
      </c>
      <c r="O52" s="63">
        <f t="shared" si="50"/>
        <v>59.379198885578795</v>
      </c>
      <c r="P52" s="63">
        <f t="shared" si="50"/>
        <v>59.715739739663249</v>
      </c>
      <c r="Q52" s="63">
        <f t="shared" si="50"/>
        <v>60.052280593747703</v>
      </c>
      <c r="R52" s="63">
        <f t="shared" si="50"/>
        <v>60.388821447832157</v>
      </c>
      <c r="S52" s="63">
        <f t="shared" si="50"/>
        <v>60.725362301916611</v>
      </c>
      <c r="T52" s="63">
        <f t="shared" si="50"/>
        <v>61.061903156001065</v>
      </c>
      <c r="U52" s="63">
        <f t="shared" si="50"/>
        <v>61.39844401008552</v>
      </c>
      <c r="V52" s="63">
        <f t="shared" si="50"/>
        <v>61.734984864169974</v>
      </c>
      <c r="W52" s="63">
        <f t="shared" si="50"/>
        <v>62.071525718254428</v>
      </c>
      <c r="X52" s="63">
        <f t="shared" si="50"/>
        <v>62.408066572338882</v>
      </c>
      <c r="Y52" s="63">
        <f t="shared" si="50"/>
        <v>62.744607426423336</v>
      </c>
      <c r="Z52" s="63">
        <f t="shared" si="50"/>
        <v>63.08114828050779</v>
      </c>
      <c r="AA52" s="63">
        <f t="shared" si="50"/>
        <v>63.417689134592244</v>
      </c>
      <c r="AB52" s="63">
        <f t="shared" si="50"/>
        <v>63.754229988676698</v>
      </c>
      <c r="AC52" s="63">
        <f t="shared" si="50"/>
        <v>64.090770842761145</v>
      </c>
      <c r="AD52" s="63">
        <f t="shared" si="50"/>
        <v>64.427311696845592</v>
      </c>
      <c r="AE52" s="63">
        <f t="shared" si="50"/>
        <v>64.763852550930039</v>
      </c>
      <c r="AF52" s="63">
        <f t="shared" si="50"/>
        <v>65.100393405014486</v>
      </c>
      <c r="AG52" s="63">
        <f t="shared" si="50"/>
        <v>65.436934259098933</v>
      </c>
      <c r="AH52" s="63">
        <f t="shared" si="50"/>
        <v>65.77347511318338</v>
      </c>
      <c r="AI52" s="63">
        <f t="shared" si="50"/>
        <v>66.110015967267827</v>
      </c>
      <c r="AJ52" s="63">
        <f t="shared" si="50"/>
        <v>66.446556821352274</v>
      </c>
      <c r="AK52" s="63">
        <f t="shared" si="50"/>
        <v>66.783097675436721</v>
      </c>
      <c r="AL52" s="63">
        <f t="shared" si="50"/>
        <v>67.119638529521168</v>
      </c>
      <c r="AM52" s="63">
        <f t="shared" si="50"/>
        <v>67.456179383605615</v>
      </c>
      <c r="AN52" s="63">
        <f t="shared" si="50"/>
        <v>67.792720237690062</v>
      </c>
      <c r="AO52" s="63">
        <f t="shared" si="50"/>
        <v>68.129261091774509</v>
      </c>
      <c r="AP52" s="63">
        <f t="shared" si="50"/>
        <v>68.465801945858956</v>
      </c>
      <c r="AQ52" s="63">
        <f t="shared" si="50"/>
        <v>68.802342799943403</v>
      </c>
      <c r="AR52" s="63">
        <f t="shared" si="50"/>
        <v>69.13888365402785</v>
      </c>
      <c r="AS52" s="63">
        <f t="shared" si="50"/>
        <v>69.475424508112297</v>
      </c>
      <c r="AT52" s="63">
        <f t="shared" ref="AT52:BT52" si="51">AS52+($H52-$G52)/COUNT($N$4:$BT$4)</f>
        <v>69.811965362196744</v>
      </c>
      <c r="AU52" s="63">
        <f t="shared" si="51"/>
        <v>70.148506216281191</v>
      </c>
      <c r="AV52" s="63">
        <f t="shared" si="51"/>
        <v>70.485047070365638</v>
      </c>
      <c r="AW52" s="63">
        <f t="shared" si="51"/>
        <v>70.821587924450085</v>
      </c>
      <c r="AX52" s="63">
        <f t="shared" si="51"/>
        <v>71.158128778534532</v>
      </c>
      <c r="AY52" s="63">
        <f t="shared" si="51"/>
        <v>71.494669632618979</v>
      </c>
      <c r="AZ52" s="63">
        <f t="shared" si="51"/>
        <v>71.831210486703426</v>
      </c>
      <c r="BA52" s="63">
        <f t="shared" si="51"/>
        <v>72.167751340787873</v>
      </c>
      <c r="BB52" s="63">
        <f t="shared" si="51"/>
        <v>72.50429219487232</v>
      </c>
      <c r="BC52" s="63">
        <f t="shared" si="51"/>
        <v>72.840833048956767</v>
      </c>
      <c r="BD52" s="63">
        <f t="shared" si="51"/>
        <v>73.177373903041214</v>
      </c>
      <c r="BE52" s="63">
        <f t="shared" si="51"/>
        <v>73.513914757125661</v>
      </c>
      <c r="BF52" s="63">
        <f t="shared" si="51"/>
        <v>73.850455611210108</v>
      </c>
      <c r="BG52" s="63">
        <f t="shared" si="51"/>
        <v>74.186996465294555</v>
      </c>
      <c r="BH52" s="63">
        <f t="shared" si="51"/>
        <v>74.523537319379002</v>
      </c>
      <c r="BI52" s="63">
        <f t="shared" si="51"/>
        <v>74.86007817346345</v>
      </c>
      <c r="BJ52" s="63">
        <f t="shared" si="51"/>
        <v>75.196619027547897</v>
      </c>
      <c r="BK52" s="63">
        <f t="shared" si="51"/>
        <v>75.533159881632344</v>
      </c>
      <c r="BL52" s="63">
        <f t="shared" si="51"/>
        <v>75.869700735716791</v>
      </c>
      <c r="BM52" s="63">
        <f t="shared" si="51"/>
        <v>76.206241589801238</v>
      </c>
      <c r="BN52" s="63">
        <f t="shared" si="51"/>
        <v>76.542782443885685</v>
      </c>
      <c r="BO52" s="63">
        <f t="shared" si="51"/>
        <v>76.879323297970132</v>
      </c>
      <c r="BP52" s="63">
        <f t="shared" si="51"/>
        <v>77.215864152054579</v>
      </c>
      <c r="BQ52" s="63">
        <f t="shared" si="51"/>
        <v>77.552405006139026</v>
      </c>
      <c r="BR52" s="63">
        <f t="shared" si="51"/>
        <v>77.888945860223473</v>
      </c>
      <c r="BS52" s="63">
        <f t="shared" si="51"/>
        <v>78.22548671430792</v>
      </c>
      <c r="BT52" s="63">
        <f t="shared" si="51"/>
        <v>78.562027568392367</v>
      </c>
      <c r="BU52" s="40"/>
      <c r="BV52" s="58">
        <f t="shared" si="49"/>
        <v>726.6851024984926</v>
      </c>
      <c r="BW52" s="58">
        <f t="shared" si="49"/>
        <v>775.14698548665376</v>
      </c>
      <c r="BX52" s="58">
        <f t="shared" si="49"/>
        <v>823.60886847481402</v>
      </c>
      <c r="BY52" s="58">
        <f t="shared" si="49"/>
        <v>872.07075146297461</v>
      </c>
      <c r="BZ52" s="58">
        <f t="shared" si="49"/>
        <v>920.53263445113487</v>
      </c>
    </row>
    <row r="53" spans="1:78" ht="15.6">
      <c r="A53" t="s">
        <v>83</v>
      </c>
      <c r="B53" s="59"/>
      <c r="F53" s="60" t="s">
        <v>84</v>
      </c>
      <c r="G53" s="61">
        <v>2583.0691558060398</v>
      </c>
      <c r="H53" s="68">
        <v>0</v>
      </c>
      <c r="I53" s="95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40"/>
      <c r="BV53" s="58"/>
      <c r="BW53" s="58"/>
      <c r="BX53" s="58"/>
      <c r="BY53" s="58"/>
      <c r="BZ53" s="58"/>
    </row>
    <row r="54" spans="1:78" ht="15.6">
      <c r="A54" s="78" t="s">
        <v>85</v>
      </c>
      <c r="B54" s="59"/>
      <c r="E54" s="12"/>
      <c r="F54" s="95"/>
      <c r="G54" s="107"/>
      <c r="H54" s="94"/>
      <c r="I54" s="95"/>
      <c r="BU54" s="40"/>
    </row>
    <row r="55" spans="1:78" ht="15.6">
      <c r="A55" t="s">
        <v>86</v>
      </c>
      <c r="B55" s="59"/>
      <c r="E55" s="12"/>
      <c r="F55" s="60" t="s">
        <v>68</v>
      </c>
      <c r="G55" s="61">
        <f>40000/$G$7</f>
        <v>469.64893741927909</v>
      </c>
      <c r="H55" s="68">
        <v>0.05</v>
      </c>
      <c r="I55" s="59" t="s">
        <v>49</v>
      </c>
      <c r="M55" s="64">
        <v>1</v>
      </c>
      <c r="N55" s="66">
        <f t="shared" ref="N55:X55" si="52">M55</f>
        <v>1</v>
      </c>
      <c r="O55" s="66">
        <f t="shared" si="52"/>
        <v>1</v>
      </c>
      <c r="P55" s="66">
        <f t="shared" si="52"/>
        <v>1</v>
      </c>
      <c r="Q55" s="66">
        <f t="shared" si="52"/>
        <v>1</v>
      </c>
      <c r="R55" s="66">
        <f t="shared" si="52"/>
        <v>1</v>
      </c>
      <c r="S55" s="66">
        <f t="shared" si="52"/>
        <v>1</v>
      </c>
      <c r="T55" s="66">
        <f t="shared" si="52"/>
        <v>1</v>
      </c>
      <c r="U55" s="66">
        <f t="shared" si="52"/>
        <v>1</v>
      </c>
      <c r="V55" s="66">
        <f t="shared" si="52"/>
        <v>1</v>
      </c>
      <c r="W55" s="66">
        <f t="shared" si="52"/>
        <v>1</v>
      </c>
      <c r="X55" s="66">
        <f t="shared" si="52"/>
        <v>1</v>
      </c>
      <c r="Y55" s="64">
        <v>2</v>
      </c>
      <c r="Z55" s="66">
        <f t="shared" ref="Z55:BT55" si="53">Y55</f>
        <v>2</v>
      </c>
      <c r="AA55" s="66">
        <f t="shared" si="53"/>
        <v>2</v>
      </c>
      <c r="AB55" s="66">
        <f t="shared" si="53"/>
        <v>2</v>
      </c>
      <c r="AC55" s="66">
        <f t="shared" si="53"/>
        <v>2</v>
      </c>
      <c r="AD55" s="66">
        <f t="shared" si="53"/>
        <v>2</v>
      </c>
      <c r="AE55" s="66">
        <f t="shared" si="53"/>
        <v>2</v>
      </c>
      <c r="AF55" s="66">
        <f t="shared" si="53"/>
        <v>2</v>
      </c>
      <c r="AG55" s="66">
        <f t="shared" si="53"/>
        <v>2</v>
      </c>
      <c r="AH55" s="66">
        <f t="shared" si="53"/>
        <v>2</v>
      </c>
      <c r="AI55" s="66">
        <f t="shared" si="53"/>
        <v>2</v>
      </c>
      <c r="AJ55" s="66">
        <f t="shared" si="53"/>
        <v>2</v>
      </c>
      <c r="AK55" s="66">
        <f t="shared" si="53"/>
        <v>2</v>
      </c>
      <c r="AL55" s="66">
        <f t="shared" si="53"/>
        <v>2</v>
      </c>
      <c r="AM55" s="66">
        <f t="shared" si="53"/>
        <v>2</v>
      </c>
      <c r="AN55" s="66">
        <f t="shared" si="53"/>
        <v>2</v>
      </c>
      <c r="AO55" s="66">
        <f t="shared" si="53"/>
        <v>2</v>
      </c>
      <c r="AP55" s="66">
        <f t="shared" si="53"/>
        <v>2</v>
      </c>
      <c r="AQ55" s="66">
        <f t="shared" si="53"/>
        <v>2</v>
      </c>
      <c r="AR55" s="66">
        <f t="shared" si="53"/>
        <v>2</v>
      </c>
      <c r="AS55" s="66">
        <f t="shared" si="53"/>
        <v>2</v>
      </c>
      <c r="AT55" s="66">
        <f t="shared" si="53"/>
        <v>2</v>
      </c>
      <c r="AU55" s="66">
        <f t="shared" si="53"/>
        <v>2</v>
      </c>
      <c r="AV55" s="66">
        <f t="shared" si="53"/>
        <v>2</v>
      </c>
      <c r="AW55" s="66">
        <f t="shared" si="53"/>
        <v>2</v>
      </c>
      <c r="AX55" s="66">
        <f t="shared" si="53"/>
        <v>2</v>
      </c>
      <c r="AY55" s="66">
        <f t="shared" si="53"/>
        <v>2</v>
      </c>
      <c r="AZ55" s="66">
        <f t="shared" si="53"/>
        <v>2</v>
      </c>
      <c r="BA55" s="66">
        <f t="shared" si="53"/>
        <v>2</v>
      </c>
      <c r="BB55" s="66">
        <f t="shared" si="53"/>
        <v>2</v>
      </c>
      <c r="BC55" s="66">
        <f t="shared" si="53"/>
        <v>2</v>
      </c>
      <c r="BD55" s="66">
        <f t="shared" si="53"/>
        <v>2</v>
      </c>
      <c r="BE55" s="66">
        <f t="shared" si="53"/>
        <v>2</v>
      </c>
      <c r="BF55" s="66">
        <f t="shared" si="53"/>
        <v>2</v>
      </c>
      <c r="BG55" s="66">
        <f t="shared" si="53"/>
        <v>2</v>
      </c>
      <c r="BH55" s="66">
        <f t="shared" si="53"/>
        <v>2</v>
      </c>
      <c r="BI55" s="66">
        <f t="shared" si="53"/>
        <v>2</v>
      </c>
      <c r="BJ55" s="66">
        <f t="shared" si="53"/>
        <v>2</v>
      </c>
      <c r="BK55" s="66">
        <f t="shared" si="53"/>
        <v>2</v>
      </c>
      <c r="BL55" s="66">
        <f t="shared" si="53"/>
        <v>2</v>
      </c>
      <c r="BM55" s="66">
        <f t="shared" si="53"/>
        <v>2</v>
      </c>
      <c r="BN55" s="66">
        <f t="shared" si="53"/>
        <v>2</v>
      </c>
      <c r="BO55" s="66">
        <f t="shared" si="53"/>
        <v>2</v>
      </c>
      <c r="BP55" s="66">
        <f t="shared" si="53"/>
        <v>2</v>
      </c>
      <c r="BQ55" s="66">
        <f t="shared" si="53"/>
        <v>2</v>
      </c>
      <c r="BR55" s="66">
        <f t="shared" si="53"/>
        <v>2</v>
      </c>
      <c r="BS55" s="66">
        <f t="shared" si="53"/>
        <v>2</v>
      </c>
      <c r="BT55" s="66">
        <f t="shared" si="53"/>
        <v>2</v>
      </c>
      <c r="BU55" s="40"/>
    </row>
    <row r="56" spans="1:78" ht="15.6">
      <c r="A56" t="s">
        <v>87</v>
      </c>
      <c r="B56" s="59"/>
      <c r="E56" s="12"/>
      <c r="F56" s="60" t="s">
        <v>68</v>
      </c>
      <c r="G56" s="61">
        <f>25000/$G$7</f>
        <v>293.53058588704943</v>
      </c>
      <c r="H56" s="68">
        <v>0</v>
      </c>
      <c r="I56" s="59" t="s">
        <v>49</v>
      </c>
      <c r="M56" s="64">
        <v>1</v>
      </c>
      <c r="N56" s="108">
        <f t="shared" ref="N56:X56" si="54">M56</f>
        <v>1</v>
      </c>
      <c r="O56" s="108">
        <f t="shared" si="54"/>
        <v>1</v>
      </c>
      <c r="P56" s="108">
        <f t="shared" si="54"/>
        <v>1</v>
      </c>
      <c r="Q56" s="108">
        <f t="shared" si="54"/>
        <v>1</v>
      </c>
      <c r="R56" s="108">
        <f t="shared" si="54"/>
        <v>1</v>
      </c>
      <c r="S56" s="108">
        <f t="shared" si="54"/>
        <v>1</v>
      </c>
      <c r="T56" s="108">
        <f t="shared" si="54"/>
        <v>1</v>
      </c>
      <c r="U56" s="108">
        <f t="shared" si="54"/>
        <v>1</v>
      </c>
      <c r="V56" s="108">
        <f t="shared" si="54"/>
        <v>1</v>
      </c>
      <c r="W56" s="108">
        <f t="shared" si="54"/>
        <v>1</v>
      </c>
      <c r="X56" s="108">
        <f t="shared" si="54"/>
        <v>1</v>
      </c>
      <c r="Y56" s="64">
        <v>2</v>
      </c>
      <c r="Z56" s="108">
        <f t="shared" ref="Z56:BT56" si="55">Y56</f>
        <v>2</v>
      </c>
      <c r="AA56" s="108">
        <f t="shared" si="55"/>
        <v>2</v>
      </c>
      <c r="AB56" s="108">
        <f t="shared" si="55"/>
        <v>2</v>
      </c>
      <c r="AC56" s="108">
        <f t="shared" si="55"/>
        <v>2</v>
      </c>
      <c r="AD56" s="108">
        <f t="shared" si="55"/>
        <v>2</v>
      </c>
      <c r="AE56" s="108">
        <f t="shared" si="55"/>
        <v>2</v>
      </c>
      <c r="AF56" s="108">
        <f t="shared" si="55"/>
        <v>2</v>
      </c>
      <c r="AG56" s="108">
        <f t="shared" si="55"/>
        <v>2</v>
      </c>
      <c r="AH56" s="108">
        <f t="shared" si="55"/>
        <v>2</v>
      </c>
      <c r="AI56" s="108">
        <f t="shared" si="55"/>
        <v>2</v>
      </c>
      <c r="AJ56" s="108">
        <f t="shared" si="55"/>
        <v>2</v>
      </c>
      <c r="AK56" s="108">
        <f t="shared" si="55"/>
        <v>2</v>
      </c>
      <c r="AL56" s="108">
        <f t="shared" si="55"/>
        <v>2</v>
      </c>
      <c r="AM56" s="108">
        <f t="shared" si="55"/>
        <v>2</v>
      </c>
      <c r="AN56" s="108">
        <f t="shared" si="55"/>
        <v>2</v>
      </c>
      <c r="AO56" s="108">
        <f t="shared" si="55"/>
        <v>2</v>
      </c>
      <c r="AP56" s="108">
        <f t="shared" si="55"/>
        <v>2</v>
      </c>
      <c r="AQ56" s="108">
        <f t="shared" si="55"/>
        <v>2</v>
      </c>
      <c r="AR56" s="108">
        <f t="shared" si="55"/>
        <v>2</v>
      </c>
      <c r="AS56" s="108">
        <f t="shared" si="55"/>
        <v>2</v>
      </c>
      <c r="AT56" s="108">
        <f t="shared" si="55"/>
        <v>2</v>
      </c>
      <c r="AU56" s="108">
        <f t="shared" si="55"/>
        <v>2</v>
      </c>
      <c r="AV56" s="108">
        <f t="shared" si="55"/>
        <v>2</v>
      </c>
      <c r="AW56" s="108">
        <f t="shared" si="55"/>
        <v>2</v>
      </c>
      <c r="AX56" s="108">
        <f t="shared" si="55"/>
        <v>2</v>
      </c>
      <c r="AY56" s="108">
        <f t="shared" si="55"/>
        <v>2</v>
      </c>
      <c r="AZ56" s="108">
        <f t="shared" si="55"/>
        <v>2</v>
      </c>
      <c r="BA56" s="108">
        <f t="shared" si="55"/>
        <v>2</v>
      </c>
      <c r="BB56" s="108">
        <f t="shared" si="55"/>
        <v>2</v>
      </c>
      <c r="BC56" s="108">
        <f t="shared" si="55"/>
        <v>2</v>
      </c>
      <c r="BD56" s="108">
        <f t="shared" si="55"/>
        <v>2</v>
      </c>
      <c r="BE56" s="108">
        <f t="shared" si="55"/>
        <v>2</v>
      </c>
      <c r="BF56" s="108">
        <f t="shared" si="55"/>
        <v>2</v>
      </c>
      <c r="BG56" s="108">
        <f t="shared" si="55"/>
        <v>2</v>
      </c>
      <c r="BH56" s="108">
        <f t="shared" si="55"/>
        <v>2</v>
      </c>
      <c r="BI56" s="108">
        <f t="shared" si="55"/>
        <v>2</v>
      </c>
      <c r="BJ56" s="108">
        <f t="shared" si="55"/>
        <v>2</v>
      </c>
      <c r="BK56" s="108">
        <f t="shared" si="55"/>
        <v>2</v>
      </c>
      <c r="BL56" s="108">
        <f t="shared" si="55"/>
        <v>2</v>
      </c>
      <c r="BM56" s="108">
        <f t="shared" si="55"/>
        <v>2</v>
      </c>
      <c r="BN56" s="108">
        <f t="shared" si="55"/>
        <v>2</v>
      </c>
      <c r="BO56" s="108">
        <f t="shared" si="55"/>
        <v>2</v>
      </c>
      <c r="BP56" s="108">
        <f t="shared" si="55"/>
        <v>2</v>
      </c>
      <c r="BQ56" s="108">
        <f t="shared" si="55"/>
        <v>2</v>
      </c>
      <c r="BR56" s="108">
        <f t="shared" si="55"/>
        <v>2</v>
      </c>
      <c r="BS56" s="108">
        <f t="shared" si="55"/>
        <v>2</v>
      </c>
      <c r="BT56" s="108">
        <f t="shared" si="55"/>
        <v>2</v>
      </c>
      <c r="BU56" s="40"/>
    </row>
    <row r="57" spans="1:78" ht="15.6">
      <c r="A57" t="s">
        <v>88</v>
      </c>
      <c r="B57" s="59"/>
      <c r="F57" s="60" t="s">
        <v>68</v>
      </c>
      <c r="G57" s="61">
        <f>60000/G7</f>
        <v>704.47340612891867</v>
      </c>
      <c r="H57" s="68">
        <v>0.05</v>
      </c>
      <c r="I57" s="59" t="s">
        <v>49</v>
      </c>
      <c r="M57" s="66">
        <v>0</v>
      </c>
      <c r="N57" s="108">
        <f t="shared" ref="N57:R59" si="56">M57</f>
        <v>0</v>
      </c>
      <c r="O57" s="108">
        <f t="shared" si="56"/>
        <v>0</v>
      </c>
      <c r="P57" s="108">
        <f t="shared" si="56"/>
        <v>0</v>
      </c>
      <c r="Q57" s="108">
        <f t="shared" si="56"/>
        <v>0</v>
      </c>
      <c r="R57" s="108">
        <f t="shared" si="56"/>
        <v>0</v>
      </c>
      <c r="S57" s="64">
        <v>1</v>
      </c>
      <c r="T57" s="108">
        <f t="shared" ref="T57:X59" si="57">S57</f>
        <v>1</v>
      </c>
      <c r="U57" s="108">
        <f t="shared" si="57"/>
        <v>1</v>
      </c>
      <c r="V57" s="108">
        <f t="shared" si="57"/>
        <v>1</v>
      </c>
      <c r="W57" s="108">
        <f t="shared" si="57"/>
        <v>1</v>
      </c>
      <c r="X57" s="108">
        <f t="shared" si="57"/>
        <v>1</v>
      </c>
      <c r="Y57" s="64">
        <v>1</v>
      </c>
      <c r="Z57" s="108">
        <f t="shared" ref="Z57:BT57" si="58">Y57</f>
        <v>1</v>
      </c>
      <c r="AA57" s="108">
        <f t="shared" si="58"/>
        <v>1</v>
      </c>
      <c r="AB57" s="108">
        <f t="shared" si="58"/>
        <v>1</v>
      </c>
      <c r="AC57" s="108">
        <f t="shared" si="58"/>
        <v>1</v>
      </c>
      <c r="AD57" s="108">
        <f t="shared" si="58"/>
        <v>1</v>
      </c>
      <c r="AE57" s="66">
        <f t="shared" si="58"/>
        <v>1</v>
      </c>
      <c r="AF57" s="108">
        <f t="shared" si="58"/>
        <v>1</v>
      </c>
      <c r="AG57" s="108">
        <f t="shared" si="58"/>
        <v>1</v>
      </c>
      <c r="AH57" s="108">
        <f t="shared" si="58"/>
        <v>1</v>
      </c>
      <c r="AI57" s="108">
        <f t="shared" si="58"/>
        <v>1</v>
      </c>
      <c r="AJ57" s="108">
        <f t="shared" si="58"/>
        <v>1</v>
      </c>
      <c r="AK57" s="108">
        <f t="shared" si="58"/>
        <v>1</v>
      </c>
      <c r="AL57" s="108">
        <f t="shared" si="58"/>
        <v>1</v>
      </c>
      <c r="AM57" s="108">
        <f t="shared" si="58"/>
        <v>1</v>
      </c>
      <c r="AN57" s="108">
        <f t="shared" si="58"/>
        <v>1</v>
      </c>
      <c r="AO57" s="108">
        <f t="shared" si="58"/>
        <v>1</v>
      </c>
      <c r="AP57" s="108">
        <f t="shared" si="58"/>
        <v>1</v>
      </c>
      <c r="AQ57" s="108">
        <f t="shared" si="58"/>
        <v>1</v>
      </c>
      <c r="AR57" s="108">
        <f t="shared" si="58"/>
        <v>1</v>
      </c>
      <c r="AS57" s="108">
        <f t="shared" si="58"/>
        <v>1</v>
      </c>
      <c r="AT57" s="108">
        <f t="shared" si="58"/>
        <v>1</v>
      </c>
      <c r="AU57" s="108">
        <f t="shared" si="58"/>
        <v>1</v>
      </c>
      <c r="AV57" s="108">
        <f t="shared" si="58"/>
        <v>1</v>
      </c>
      <c r="AW57" s="108">
        <f t="shared" si="58"/>
        <v>1</v>
      </c>
      <c r="AX57" s="108">
        <f t="shared" si="58"/>
        <v>1</v>
      </c>
      <c r="AY57" s="108">
        <f t="shared" si="58"/>
        <v>1</v>
      </c>
      <c r="AZ57" s="108">
        <f t="shared" si="58"/>
        <v>1</v>
      </c>
      <c r="BA57" s="108">
        <f t="shared" si="58"/>
        <v>1</v>
      </c>
      <c r="BB57" s="108">
        <f t="shared" si="58"/>
        <v>1</v>
      </c>
      <c r="BC57" s="108">
        <f t="shared" si="58"/>
        <v>1</v>
      </c>
      <c r="BD57" s="108">
        <f t="shared" si="58"/>
        <v>1</v>
      </c>
      <c r="BE57" s="108">
        <f t="shared" si="58"/>
        <v>1</v>
      </c>
      <c r="BF57" s="108">
        <f t="shared" si="58"/>
        <v>1</v>
      </c>
      <c r="BG57" s="108">
        <f t="shared" si="58"/>
        <v>1</v>
      </c>
      <c r="BH57" s="108">
        <f t="shared" si="58"/>
        <v>1</v>
      </c>
      <c r="BI57" s="108">
        <f t="shared" si="58"/>
        <v>1</v>
      </c>
      <c r="BJ57" s="108">
        <f t="shared" si="58"/>
        <v>1</v>
      </c>
      <c r="BK57" s="108">
        <f t="shared" si="58"/>
        <v>1</v>
      </c>
      <c r="BL57" s="108">
        <f t="shared" si="58"/>
        <v>1</v>
      </c>
      <c r="BM57" s="108">
        <f t="shared" si="58"/>
        <v>1</v>
      </c>
      <c r="BN57" s="108">
        <f t="shared" si="58"/>
        <v>1</v>
      </c>
      <c r="BO57" s="108">
        <f t="shared" si="58"/>
        <v>1</v>
      </c>
      <c r="BP57" s="108">
        <f t="shared" si="58"/>
        <v>1</v>
      </c>
      <c r="BQ57" s="108">
        <f t="shared" si="58"/>
        <v>1</v>
      </c>
      <c r="BR57" s="108">
        <f t="shared" si="58"/>
        <v>1</v>
      </c>
      <c r="BS57" s="108">
        <f t="shared" si="58"/>
        <v>1</v>
      </c>
      <c r="BT57" s="108">
        <f t="shared" si="58"/>
        <v>1</v>
      </c>
      <c r="BU57" s="40" t="s">
        <v>89</v>
      </c>
    </row>
    <row r="58" spans="1:78" ht="15.6">
      <c r="A58" t="s">
        <v>90</v>
      </c>
      <c r="B58" s="59"/>
      <c r="F58" s="60" t="s">
        <v>68</v>
      </c>
      <c r="G58" s="61">
        <v>2583.0691558060398</v>
      </c>
      <c r="H58" s="68">
        <v>0</v>
      </c>
      <c r="I58" s="59" t="s">
        <v>49</v>
      </c>
      <c r="L58" s="109"/>
      <c r="M58" s="64">
        <v>1</v>
      </c>
      <c r="N58" s="108">
        <f t="shared" si="56"/>
        <v>1</v>
      </c>
      <c r="O58" s="108">
        <f t="shared" si="56"/>
        <v>1</v>
      </c>
      <c r="P58" s="108">
        <f t="shared" si="56"/>
        <v>1</v>
      </c>
      <c r="Q58" s="108">
        <f t="shared" si="56"/>
        <v>1</v>
      </c>
      <c r="R58" s="108">
        <f t="shared" si="56"/>
        <v>1</v>
      </c>
      <c r="S58" s="108">
        <f>R58</f>
        <v>1</v>
      </c>
      <c r="T58" s="108">
        <f t="shared" si="57"/>
        <v>1</v>
      </c>
      <c r="U58" s="108">
        <f t="shared" si="57"/>
        <v>1</v>
      </c>
      <c r="V58" s="108">
        <f t="shared" si="57"/>
        <v>1</v>
      </c>
      <c r="W58" s="108">
        <f t="shared" si="57"/>
        <v>1</v>
      </c>
      <c r="X58" s="108">
        <f t="shared" si="57"/>
        <v>1</v>
      </c>
      <c r="Y58" s="108">
        <f>X58</f>
        <v>1</v>
      </c>
      <c r="Z58" s="108">
        <f t="shared" ref="Z58:BT58" si="59">Y58</f>
        <v>1</v>
      </c>
      <c r="AA58" s="108">
        <f t="shared" si="59"/>
        <v>1</v>
      </c>
      <c r="AB58" s="108">
        <f t="shared" si="59"/>
        <v>1</v>
      </c>
      <c r="AC58" s="108">
        <f t="shared" si="59"/>
        <v>1</v>
      </c>
      <c r="AD58" s="108">
        <f t="shared" si="59"/>
        <v>1</v>
      </c>
      <c r="AE58" s="108">
        <f t="shared" si="59"/>
        <v>1</v>
      </c>
      <c r="AF58" s="108">
        <f t="shared" si="59"/>
        <v>1</v>
      </c>
      <c r="AG58" s="108">
        <f t="shared" si="59"/>
        <v>1</v>
      </c>
      <c r="AH58" s="108">
        <f t="shared" si="59"/>
        <v>1</v>
      </c>
      <c r="AI58" s="108">
        <f t="shared" si="59"/>
        <v>1</v>
      </c>
      <c r="AJ58" s="108">
        <f t="shared" si="59"/>
        <v>1</v>
      </c>
      <c r="AK58" s="108">
        <f t="shared" si="59"/>
        <v>1</v>
      </c>
      <c r="AL58" s="108">
        <f t="shared" si="59"/>
        <v>1</v>
      </c>
      <c r="AM58" s="108">
        <f t="shared" si="59"/>
        <v>1</v>
      </c>
      <c r="AN58" s="108">
        <f t="shared" si="59"/>
        <v>1</v>
      </c>
      <c r="AO58" s="108">
        <f t="shared" si="59"/>
        <v>1</v>
      </c>
      <c r="AP58" s="108">
        <f t="shared" si="59"/>
        <v>1</v>
      </c>
      <c r="AQ58" s="108">
        <f t="shared" si="59"/>
        <v>1</v>
      </c>
      <c r="AR58" s="108">
        <f t="shared" si="59"/>
        <v>1</v>
      </c>
      <c r="AS58" s="108">
        <f t="shared" si="59"/>
        <v>1</v>
      </c>
      <c r="AT58" s="108">
        <f t="shared" si="59"/>
        <v>1</v>
      </c>
      <c r="AU58" s="108">
        <f t="shared" si="59"/>
        <v>1</v>
      </c>
      <c r="AV58" s="108">
        <f t="shared" si="59"/>
        <v>1</v>
      </c>
      <c r="AW58" s="108">
        <f t="shared" si="59"/>
        <v>1</v>
      </c>
      <c r="AX58" s="108">
        <f t="shared" si="59"/>
        <v>1</v>
      </c>
      <c r="AY58" s="108">
        <f t="shared" si="59"/>
        <v>1</v>
      </c>
      <c r="AZ58" s="108">
        <f t="shared" si="59"/>
        <v>1</v>
      </c>
      <c r="BA58" s="108">
        <f t="shared" si="59"/>
        <v>1</v>
      </c>
      <c r="BB58" s="108">
        <f t="shared" si="59"/>
        <v>1</v>
      </c>
      <c r="BC58" s="108">
        <f t="shared" si="59"/>
        <v>1</v>
      </c>
      <c r="BD58" s="108">
        <f t="shared" si="59"/>
        <v>1</v>
      </c>
      <c r="BE58" s="108">
        <f t="shared" si="59"/>
        <v>1</v>
      </c>
      <c r="BF58" s="108">
        <f t="shared" si="59"/>
        <v>1</v>
      </c>
      <c r="BG58" s="108">
        <f t="shared" si="59"/>
        <v>1</v>
      </c>
      <c r="BH58" s="108">
        <f t="shared" si="59"/>
        <v>1</v>
      </c>
      <c r="BI58" s="108">
        <f t="shared" si="59"/>
        <v>1</v>
      </c>
      <c r="BJ58" s="108">
        <f t="shared" si="59"/>
        <v>1</v>
      </c>
      <c r="BK58" s="108">
        <f t="shared" si="59"/>
        <v>1</v>
      </c>
      <c r="BL58" s="108">
        <f t="shared" si="59"/>
        <v>1</v>
      </c>
      <c r="BM58" s="108">
        <f t="shared" si="59"/>
        <v>1</v>
      </c>
      <c r="BN58" s="108">
        <f t="shared" si="59"/>
        <v>1</v>
      </c>
      <c r="BO58" s="108">
        <f t="shared" si="59"/>
        <v>1</v>
      </c>
      <c r="BP58" s="108">
        <f t="shared" si="59"/>
        <v>1</v>
      </c>
      <c r="BQ58" s="108">
        <f t="shared" si="59"/>
        <v>1</v>
      </c>
      <c r="BR58" s="108">
        <f t="shared" si="59"/>
        <v>1</v>
      </c>
      <c r="BS58" s="108">
        <f t="shared" si="59"/>
        <v>1</v>
      </c>
      <c r="BT58" s="108">
        <f t="shared" si="59"/>
        <v>1</v>
      </c>
      <c r="BU58" s="40"/>
    </row>
    <row r="59" spans="1:78" ht="15.6">
      <c r="A59" t="s">
        <v>90</v>
      </c>
      <c r="B59" s="59"/>
      <c r="F59" s="60" t="s">
        <v>68</v>
      </c>
      <c r="G59" s="61">
        <v>2583.0691558060398</v>
      </c>
      <c r="H59" s="68">
        <v>0</v>
      </c>
      <c r="I59" s="59" t="s">
        <v>49</v>
      </c>
      <c r="L59" s="109"/>
      <c r="M59" s="64">
        <v>1</v>
      </c>
      <c r="N59" s="108">
        <f t="shared" si="56"/>
        <v>1</v>
      </c>
      <c r="O59" s="108">
        <f t="shared" si="56"/>
        <v>1</v>
      </c>
      <c r="P59" s="108">
        <f t="shared" si="56"/>
        <v>1</v>
      </c>
      <c r="Q59" s="108">
        <f t="shared" si="56"/>
        <v>1</v>
      </c>
      <c r="R59" s="108">
        <f t="shared" si="56"/>
        <v>1</v>
      </c>
      <c r="S59" s="108">
        <f>R59</f>
        <v>1</v>
      </c>
      <c r="T59" s="108">
        <f t="shared" si="57"/>
        <v>1</v>
      </c>
      <c r="U59" s="108">
        <f t="shared" si="57"/>
        <v>1</v>
      </c>
      <c r="V59" s="108">
        <f t="shared" si="57"/>
        <v>1</v>
      </c>
      <c r="W59" s="108">
        <f t="shared" si="57"/>
        <v>1</v>
      </c>
      <c r="X59" s="108">
        <f t="shared" si="57"/>
        <v>1</v>
      </c>
      <c r="Y59" s="108">
        <f>X59</f>
        <v>1</v>
      </c>
      <c r="Z59" s="108">
        <f t="shared" ref="Z59:BT59" si="60">Y59</f>
        <v>1</v>
      </c>
      <c r="AA59" s="108">
        <f t="shared" si="60"/>
        <v>1</v>
      </c>
      <c r="AB59" s="108">
        <f t="shared" si="60"/>
        <v>1</v>
      </c>
      <c r="AC59" s="108">
        <f t="shared" si="60"/>
        <v>1</v>
      </c>
      <c r="AD59" s="108">
        <f t="shared" si="60"/>
        <v>1</v>
      </c>
      <c r="AE59" s="108">
        <f t="shared" si="60"/>
        <v>1</v>
      </c>
      <c r="AF59" s="108">
        <f t="shared" si="60"/>
        <v>1</v>
      </c>
      <c r="AG59" s="108">
        <f t="shared" si="60"/>
        <v>1</v>
      </c>
      <c r="AH59" s="108">
        <f t="shared" si="60"/>
        <v>1</v>
      </c>
      <c r="AI59" s="108">
        <f t="shared" si="60"/>
        <v>1</v>
      </c>
      <c r="AJ59" s="108">
        <f t="shared" si="60"/>
        <v>1</v>
      </c>
      <c r="AK59" s="108">
        <f t="shared" si="60"/>
        <v>1</v>
      </c>
      <c r="AL59" s="108">
        <f t="shared" si="60"/>
        <v>1</v>
      </c>
      <c r="AM59" s="108">
        <f t="shared" si="60"/>
        <v>1</v>
      </c>
      <c r="AN59" s="108">
        <f t="shared" si="60"/>
        <v>1</v>
      </c>
      <c r="AO59" s="108">
        <f t="shared" si="60"/>
        <v>1</v>
      </c>
      <c r="AP59" s="108">
        <f t="shared" si="60"/>
        <v>1</v>
      </c>
      <c r="AQ59" s="108">
        <f t="shared" si="60"/>
        <v>1</v>
      </c>
      <c r="AR59" s="108">
        <f t="shared" si="60"/>
        <v>1</v>
      </c>
      <c r="AS59" s="108">
        <f t="shared" si="60"/>
        <v>1</v>
      </c>
      <c r="AT59" s="108">
        <f t="shared" si="60"/>
        <v>1</v>
      </c>
      <c r="AU59" s="108">
        <f t="shared" si="60"/>
        <v>1</v>
      </c>
      <c r="AV59" s="108">
        <f t="shared" si="60"/>
        <v>1</v>
      </c>
      <c r="AW59" s="108">
        <f t="shared" si="60"/>
        <v>1</v>
      </c>
      <c r="AX59" s="108">
        <f t="shared" si="60"/>
        <v>1</v>
      </c>
      <c r="AY59" s="108">
        <f t="shared" si="60"/>
        <v>1</v>
      </c>
      <c r="AZ59" s="108">
        <f t="shared" si="60"/>
        <v>1</v>
      </c>
      <c r="BA59" s="108">
        <f t="shared" si="60"/>
        <v>1</v>
      </c>
      <c r="BB59" s="108">
        <f t="shared" si="60"/>
        <v>1</v>
      </c>
      <c r="BC59" s="108">
        <f t="shared" si="60"/>
        <v>1</v>
      </c>
      <c r="BD59" s="108">
        <f t="shared" si="60"/>
        <v>1</v>
      </c>
      <c r="BE59" s="108">
        <f t="shared" si="60"/>
        <v>1</v>
      </c>
      <c r="BF59" s="108">
        <f t="shared" si="60"/>
        <v>1</v>
      </c>
      <c r="BG59" s="108">
        <f t="shared" si="60"/>
        <v>1</v>
      </c>
      <c r="BH59" s="108">
        <f t="shared" si="60"/>
        <v>1</v>
      </c>
      <c r="BI59" s="108">
        <f t="shared" si="60"/>
        <v>1</v>
      </c>
      <c r="BJ59" s="108">
        <f t="shared" si="60"/>
        <v>1</v>
      </c>
      <c r="BK59" s="108">
        <f t="shared" si="60"/>
        <v>1</v>
      </c>
      <c r="BL59" s="108">
        <f t="shared" si="60"/>
        <v>1</v>
      </c>
      <c r="BM59" s="108">
        <f t="shared" si="60"/>
        <v>1</v>
      </c>
      <c r="BN59" s="108">
        <f t="shared" si="60"/>
        <v>1</v>
      </c>
      <c r="BO59" s="108">
        <f t="shared" si="60"/>
        <v>1</v>
      </c>
      <c r="BP59" s="108">
        <f t="shared" si="60"/>
        <v>1</v>
      </c>
      <c r="BQ59" s="108">
        <f t="shared" si="60"/>
        <v>1</v>
      </c>
      <c r="BR59" s="108">
        <f t="shared" si="60"/>
        <v>1</v>
      </c>
      <c r="BS59" s="108">
        <f t="shared" si="60"/>
        <v>1</v>
      </c>
      <c r="BT59" s="108">
        <f t="shared" si="60"/>
        <v>1</v>
      </c>
      <c r="BU59" s="40"/>
    </row>
    <row r="60" spans="1:78" ht="15.6">
      <c r="A60" s="100" t="s">
        <v>91</v>
      </c>
      <c r="B60" s="84"/>
      <c r="C60" s="101"/>
      <c r="D60" s="101"/>
      <c r="E60" s="101"/>
      <c r="F60" s="84"/>
      <c r="G60" s="101"/>
      <c r="H60" s="101"/>
      <c r="I60" s="84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</row>
    <row r="61" spans="1:78" ht="15.6">
      <c r="A61" t="s">
        <v>92</v>
      </c>
      <c r="B61" s="59"/>
      <c r="F61" s="59"/>
      <c r="G61" s="61">
        <v>1585.0651637900701</v>
      </c>
      <c r="H61" s="75">
        <v>0.02</v>
      </c>
      <c r="I61" s="59"/>
      <c r="L61" s="109"/>
      <c r="M61" s="63">
        <f>G61</f>
        <v>1585.0651637900701</v>
      </c>
      <c r="N61" s="63">
        <f t="shared" ref="N61:AS61" si="61">M61*(1+$H$61)</f>
        <v>1616.7664670658714</v>
      </c>
      <c r="O61" s="63">
        <f t="shared" si="61"/>
        <v>1649.1017964071889</v>
      </c>
      <c r="P61" s="63">
        <f t="shared" si="61"/>
        <v>1682.0838323353328</v>
      </c>
      <c r="Q61" s="63">
        <f t="shared" si="61"/>
        <v>1715.7255089820394</v>
      </c>
      <c r="R61" s="63">
        <f t="shared" si="61"/>
        <v>1750.0400191616802</v>
      </c>
      <c r="S61" s="63">
        <f t="shared" si="61"/>
        <v>1785.0408195449138</v>
      </c>
      <c r="T61" s="63">
        <f t="shared" si="61"/>
        <v>1820.7416359358122</v>
      </c>
      <c r="U61" s="63">
        <f t="shared" si="61"/>
        <v>1857.1564686545285</v>
      </c>
      <c r="V61" s="63">
        <f t="shared" si="61"/>
        <v>1894.2995980276191</v>
      </c>
      <c r="W61" s="63">
        <f t="shared" si="61"/>
        <v>1932.1855899881716</v>
      </c>
      <c r="X61" s="63">
        <f t="shared" si="61"/>
        <v>1970.829301787935</v>
      </c>
      <c r="Y61" s="63">
        <f t="shared" si="61"/>
        <v>2010.2458878236937</v>
      </c>
      <c r="Z61" s="63">
        <f t="shared" si="61"/>
        <v>2050.4508055801675</v>
      </c>
      <c r="AA61" s="63">
        <f t="shared" si="61"/>
        <v>2091.4598216917711</v>
      </c>
      <c r="AB61" s="63">
        <f t="shared" si="61"/>
        <v>2133.2890181256066</v>
      </c>
      <c r="AC61" s="63">
        <f t="shared" si="61"/>
        <v>2175.9547984881187</v>
      </c>
      <c r="AD61" s="63">
        <f t="shared" si="61"/>
        <v>2219.4738944578812</v>
      </c>
      <c r="AE61" s="63">
        <f t="shared" si="61"/>
        <v>2263.8633723470389</v>
      </c>
      <c r="AF61" s="63">
        <f t="shared" si="61"/>
        <v>2309.1406397939795</v>
      </c>
      <c r="AG61" s="63">
        <f t="shared" si="61"/>
        <v>2355.3234525898592</v>
      </c>
      <c r="AH61" s="63">
        <f t="shared" si="61"/>
        <v>2402.4299216416566</v>
      </c>
      <c r="AI61" s="63">
        <f t="shared" si="61"/>
        <v>2450.47852007449</v>
      </c>
      <c r="AJ61" s="63">
        <f t="shared" si="61"/>
        <v>2499.4880904759798</v>
      </c>
      <c r="AK61" s="63">
        <f t="shared" si="61"/>
        <v>2549.4778522854995</v>
      </c>
      <c r="AL61" s="63">
        <f t="shared" si="61"/>
        <v>2600.4674093312096</v>
      </c>
      <c r="AM61" s="63">
        <f t="shared" si="61"/>
        <v>2652.4767575178339</v>
      </c>
      <c r="AN61" s="63">
        <f t="shared" si="61"/>
        <v>2705.5262926681908</v>
      </c>
      <c r="AO61" s="63">
        <f t="shared" si="61"/>
        <v>2759.6368185215547</v>
      </c>
      <c r="AP61" s="63">
        <f t="shared" si="61"/>
        <v>2814.8295548919859</v>
      </c>
      <c r="AQ61" s="63">
        <f t="shared" si="61"/>
        <v>2871.1261459898255</v>
      </c>
      <c r="AR61" s="63">
        <f t="shared" si="61"/>
        <v>2928.5486689096219</v>
      </c>
      <c r="AS61" s="63">
        <f t="shared" si="61"/>
        <v>2987.1196422878143</v>
      </c>
      <c r="AT61" s="63">
        <f t="shared" ref="AT61:BT61" si="62">AS61*(1+$H$61)</f>
        <v>3046.8620351335708</v>
      </c>
      <c r="AU61" s="63">
        <f t="shared" si="62"/>
        <v>3107.799275836242</v>
      </c>
      <c r="AV61" s="63">
        <f t="shared" si="62"/>
        <v>3169.9552613529668</v>
      </c>
      <c r="AW61" s="63">
        <f t="shared" si="62"/>
        <v>3233.3543665800262</v>
      </c>
      <c r="AX61" s="63">
        <f t="shared" si="62"/>
        <v>3298.0214539116268</v>
      </c>
      <c r="AY61" s="63">
        <f t="shared" si="62"/>
        <v>3363.9818829898595</v>
      </c>
      <c r="AZ61" s="63">
        <f t="shared" si="62"/>
        <v>3431.2615206496566</v>
      </c>
      <c r="BA61" s="63">
        <f t="shared" si="62"/>
        <v>3499.8867510626496</v>
      </c>
      <c r="BB61" s="63">
        <f t="shared" si="62"/>
        <v>3569.8844860839026</v>
      </c>
      <c r="BC61" s="63">
        <f t="shared" si="62"/>
        <v>3641.2821758055807</v>
      </c>
      <c r="BD61" s="63">
        <f t="shared" si="62"/>
        <v>3714.1078193216922</v>
      </c>
      <c r="BE61" s="63">
        <f t="shared" si="62"/>
        <v>3788.3899757081263</v>
      </c>
      <c r="BF61" s="63">
        <f t="shared" si="62"/>
        <v>3864.1577752222888</v>
      </c>
      <c r="BG61" s="63">
        <f t="shared" si="62"/>
        <v>3941.4409307267347</v>
      </c>
      <c r="BH61" s="63">
        <f t="shared" si="62"/>
        <v>4020.2697493412693</v>
      </c>
      <c r="BI61" s="63">
        <f t="shared" si="62"/>
        <v>4100.6751443280946</v>
      </c>
      <c r="BJ61" s="63">
        <f t="shared" si="62"/>
        <v>4182.6886472146562</v>
      </c>
      <c r="BK61" s="63">
        <f t="shared" si="62"/>
        <v>4266.3424201589496</v>
      </c>
      <c r="BL61" s="63">
        <f t="shared" si="62"/>
        <v>4351.6692685621283</v>
      </c>
      <c r="BM61" s="63">
        <f t="shared" si="62"/>
        <v>4438.702653933371</v>
      </c>
      <c r="BN61" s="63">
        <f t="shared" si="62"/>
        <v>4527.4767070120388</v>
      </c>
      <c r="BO61" s="63">
        <f t="shared" si="62"/>
        <v>4618.0262411522799</v>
      </c>
      <c r="BP61" s="63">
        <f t="shared" si="62"/>
        <v>4710.3867659753259</v>
      </c>
      <c r="BQ61" s="63">
        <f t="shared" si="62"/>
        <v>4804.5945012948323</v>
      </c>
      <c r="BR61" s="63">
        <f t="shared" si="62"/>
        <v>4900.6863913207289</v>
      </c>
      <c r="BS61" s="63">
        <f t="shared" si="62"/>
        <v>4998.7001191471436</v>
      </c>
      <c r="BT61" s="63">
        <f t="shared" si="62"/>
        <v>5098.6741215300863</v>
      </c>
      <c r="BU61" s="40"/>
      <c r="BV61" s="58">
        <f>SUMIF($M$3:$BT$3,BV$3,$M61:$BT61)</f>
        <v>21259.036201681163</v>
      </c>
      <c r="BW61" s="58">
        <f>SUMIF($M$3:$BT$3,BW$3,$M61:$BT61)</f>
        <v>26961.598223090241</v>
      </c>
      <c r="BX61" s="58">
        <f>SUMIF($M$3:$BT$3,BX$3,$M61:$BT61)</f>
        <v>34193.825714726314</v>
      </c>
      <c r="BY61" s="58">
        <f>SUMIF($M$3:$BT$3,BY$3,$M61:$BT61)</f>
        <v>43366.038887403411</v>
      </c>
      <c r="BZ61" s="58">
        <f>SUMIF($M$3:$BT$3,BZ$3,$M61:$BT61)</f>
        <v>54998.622981629625</v>
      </c>
    </row>
    <row r="62" spans="1:78" ht="15.6">
      <c r="A62" s="78" t="s">
        <v>93</v>
      </c>
      <c r="B62" s="59"/>
      <c r="F62" s="59"/>
      <c r="I62" s="59"/>
      <c r="L62" s="109"/>
      <c r="BU62" s="40" t="s">
        <v>89</v>
      </c>
    </row>
    <row r="63" spans="1:78" ht="15.6">
      <c r="A63" t="s">
        <v>94</v>
      </c>
      <c r="B63" s="59" t="s">
        <v>45</v>
      </c>
      <c r="C63" s="110">
        <v>1</v>
      </c>
      <c r="D63" s="64">
        <v>10</v>
      </c>
      <c r="E63" s="111"/>
      <c r="F63" s="60" t="s">
        <v>48</v>
      </c>
      <c r="G63" s="61">
        <v>2000</v>
      </c>
      <c r="H63" s="68">
        <v>0.1</v>
      </c>
      <c r="I63" s="59" t="s">
        <v>49</v>
      </c>
      <c r="L63" s="109"/>
      <c r="M63" s="112">
        <f>CEILING('Revenue Buildup'!M$11,$D63)/$D63</f>
        <v>1</v>
      </c>
      <c r="N63" s="112">
        <f>CEILING('Revenue Buildup'!N$11,$D63)/$D63</f>
        <v>1</v>
      </c>
      <c r="O63" s="112">
        <f>CEILING('Revenue Buildup'!O$11,$D63)/$D63</f>
        <v>1</v>
      </c>
      <c r="P63" s="112">
        <f>CEILING('Revenue Buildup'!P$11,$D63)/$D63</f>
        <v>1</v>
      </c>
      <c r="Q63" s="112">
        <f>CEILING('Revenue Buildup'!Q$11,$D63)/$D63</f>
        <v>1</v>
      </c>
      <c r="R63" s="112">
        <f>CEILING('Revenue Buildup'!R$11,$D63)/$D63</f>
        <v>1</v>
      </c>
      <c r="S63" s="112">
        <f>CEILING('Revenue Buildup'!S$11,$D63)/$D63</f>
        <v>1</v>
      </c>
      <c r="T63" s="112">
        <f>CEILING('Revenue Buildup'!T$11,$D63)/$D63</f>
        <v>1</v>
      </c>
      <c r="U63" s="112">
        <f>CEILING('Revenue Buildup'!U$11,$D63)/$D63</f>
        <v>1</v>
      </c>
      <c r="V63" s="112">
        <f>CEILING('Revenue Buildup'!V$11,$D63)/$D63</f>
        <v>1</v>
      </c>
      <c r="W63" s="112">
        <f>CEILING('Revenue Buildup'!W$11,$D63)/$D63</f>
        <v>1</v>
      </c>
      <c r="X63" s="112">
        <f>CEILING('Revenue Buildup'!X$11,$D63)/$D63</f>
        <v>1</v>
      </c>
      <c r="Y63" s="112">
        <f>CEILING('Revenue Buildup'!Y$11,$D63)/$D63</f>
        <v>1</v>
      </c>
      <c r="Z63" s="112">
        <f>CEILING('Revenue Buildup'!Z$11,$D63)/$D63</f>
        <v>1</v>
      </c>
      <c r="AA63" s="112">
        <f>CEILING('Revenue Buildup'!AA$11,$D63)/$D63</f>
        <v>1</v>
      </c>
      <c r="AB63" s="112">
        <f>CEILING('Revenue Buildup'!AB$11,$D63)/$D63</f>
        <v>1</v>
      </c>
      <c r="AC63" s="112">
        <f>CEILING('Revenue Buildup'!AC$11,$D63)/$D63</f>
        <v>1</v>
      </c>
      <c r="AD63" s="112">
        <f>CEILING('Revenue Buildup'!AD$11,$D63)/$D63</f>
        <v>1</v>
      </c>
      <c r="AE63" s="112">
        <f>CEILING('Revenue Buildup'!AE$11,$D63)/$D63</f>
        <v>1</v>
      </c>
      <c r="AF63" s="112">
        <f>CEILING('Revenue Buildup'!AF$11,$D63)/$D63</f>
        <v>1</v>
      </c>
      <c r="AG63" s="112">
        <f>CEILING('Revenue Buildup'!AG$11,$D63)/$D63</f>
        <v>1</v>
      </c>
      <c r="AH63" s="112">
        <f>CEILING('Revenue Buildup'!AH$11,$D63)/$D63</f>
        <v>1</v>
      </c>
      <c r="AI63" s="112">
        <f>CEILING('Revenue Buildup'!AI$11,$D63)/$D63</f>
        <v>1</v>
      </c>
      <c r="AJ63" s="112">
        <f>CEILING('Revenue Buildup'!AJ$11,$D63)/$D63</f>
        <v>1</v>
      </c>
      <c r="AK63" s="112">
        <f>CEILING('Revenue Buildup'!AK$11,$D63)/$D63</f>
        <v>1</v>
      </c>
      <c r="AL63" s="112">
        <f>CEILING('Revenue Buildup'!AL$11,$D63)/$D63</f>
        <v>1</v>
      </c>
      <c r="AM63" s="112">
        <f>CEILING('Revenue Buildup'!AM$11,$D63)/$D63</f>
        <v>1</v>
      </c>
      <c r="AN63" s="112">
        <f>CEILING('Revenue Buildup'!AN$11,$D63)/$D63</f>
        <v>1</v>
      </c>
      <c r="AO63" s="112">
        <f>CEILING('Revenue Buildup'!AO$11,$D63)/$D63</f>
        <v>1</v>
      </c>
      <c r="AP63" s="112">
        <f>CEILING('Revenue Buildup'!AP$11,$D63)/$D63</f>
        <v>1</v>
      </c>
      <c r="AQ63" s="112">
        <f>CEILING('Revenue Buildup'!AQ$11,$D63)/$D63</f>
        <v>1</v>
      </c>
      <c r="AR63" s="112">
        <f>CEILING('Revenue Buildup'!AR$11,$D63)/$D63</f>
        <v>1</v>
      </c>
      <c r="AS63" s="112">
        <f>CEILING('Revenue Buildup'!AS$11,$D63)/$D63</f>
        <v>1</v>
      </c>
      <c r="AT63" s="112">
        <f>CEILING('Revenue Buildup'!AT$11,$D63)/$D63</f>
        <v>1</v>
      </c>
      <c r="AU63" s="112">
        <f>CEILING('Revenue Buildup'!AU$11,$D63)/$D63</f>
        <v>1</v>
      </c>
      <c r="AV63" s="112">
        <f>CEILING('Revenue Buildup'!AV$11,$D63)/$D63</f>
        <v>2</v>
      </c>
      <c r="AW63" s="112">
        <f>CEILING('Revenue Buildup'!AW$11,$D63)/$D63</f>
        <v>2</v>
      </c>
      <c r="AX63" s="112">
        <f>CEILING('Revenue Buildup'!AX$11,$D63)/$D63</f>
        <v>2</v>
      </c>
      <c r="AY63" s="112">
        <f>CEILING('Revenue Buildup'!AY$11,$D63)/$D63</f>
        <v>2</v>
      </c>
      <c r="AZ63" s="112">
        <f>CEILING('Revenue Buildup'!AZ$11,$D63)/$D63</f>
        <v>2</v>
      </c>
      <c r="BA63" s="112">
        <f>CEILING('Revenue Buildup'!BA$11,$D63)/$D63</f>
        <v>2</v>
      </c>
      <c r="BB63" s="112">
        <f>CEILING('Revenue Buildup'!BB$11,$D63)/$D63</f>
        <v>2</v>
      </c>
      <c r="BC63" s="112">
        <f>CEILING('Revenue Buildup'!BC$11,$D63)/$D63</f>
        <v>2</v>
      </c>
      <c r="BD63" s="112">
        <f>CEILING('Revenue Buildup'!BD$11,$D63)/$D63</f>
        <v>2</v>
      </c>
      <c r="BE63" s="112">
        <f>CEILING('Revenue Buildup'!BE$11,$D63)/$D63</f>
        <v>2</v>
      </c>
      <c r="BF63" s="112">
        <f>CEILING('Revenue Buildup'!BF$11,$D63)/$D63</f>
        <v>2</v>
      </c>
      <c r="BG63" s="112">
        <f>CEILING('Revenue Buildup'!BG$11,$D63)/$D63</f>
        <v>2</v>
      </c>
      <c r="BH63" s="112">
        <f>CEILING('Revenue Buildup'!BH$11,$D63)/$D63</f>
        <v>2</v>
      </c>
      <c r="BI63" s="112">
        <f>CEILING('Revenue Buildup'!BI$11,$D63)/$D63</f>
        <v>2</v>
      </c>
      <c r="BJ63" s="112">
        <f>CEILING('Revenue Buildup'!BJ$11,$D63)/$D63</f>
        <v>2</v>
      </c>
      <c r="BK63" s="112">
        <f>CEILING('Revenue Buildup'!BK$11,$D63)/$D63</f>
        <v>2</v>
      </c>
      <c r="BL63" s="112">
        <f>CEILING('Revenue Buildup'!BL$11,$D63)/$D63</f>
        <v>2</v>
      </c>
      <c r="BM63" s="112">
        <f>CEILING('Revenue Buildup'!BM$11,$D63)/$D63</f>
        <v>2</v>
      </c>
      <c r="BN63" s="112">
        <f>CEILING('Revenue Buildup'!BN$11,$D63)/$D63</f>
        <v>2</v>
      </c>
      <c r="BO63" s="112">
        <f>CEILING('Revenue Buildup'!BO$11,$D63)/$D63</f>
        <v>2</v>
      </c>
      <c r="BP63" s="112">
        <f>CEILING('Revenue Buildup'!BP$11,$D63)/$D63</f>
        <v>2</v>
      </c>
      <c r="BQ63" s="112">
        <f>CEILING('Revenue Buildup'!BQ$11,$D63)/$D63</f>
        <v>2</v>
      </c>
      <c r="BR63" s="112">
        <f>CEILING('Revenue Buildup'!BR$11,$D63)/$D63</f>
        <v>2</v>
      </c>
      <c r="BS63" s="112">
        <f>CEILING('Revenue Buildup'!BS$11,$D63)/$D63</f>
        <v>2</v>
      </c>
      <c r="BT63" s="112">
        <f>CEILING('Revenue Buildup'!BT$11,$D63)/$D63</f>
        <v>2</v>
      </c>
      <c r="BU63" s="40" t="s">
        <v>89</v>
      </c>
    </row>
    <row r="64" spans="1:78" ht="15.6">
      <c r="A64" t="s">
        <v>95</v>
      </c>
      <c r="B64" s="59" t="s">
        <v>45</v>
      </c>
      <c r="C64" s="110">
        <v>1</v>
      </c>
      <c r="D64" s="64">
        <v>18</v>
      </c>
      <c r="E64" s="111"/>
      <c r="F64" s="60" t="s">
        <v>48</v>
      </c>
      <c r="G64" s="61">
        <v>1408.9468122578401</v>
      </c>
      <c r="H64" s="68">
        <v>0.1</v>
      </c>
      <c r="I64" s="59" t="s">
        <v>49</v>
      </c>
      <c r="L64" s="109"/>
      <c r="M64" s="112">
        <f>CEILING('Revenue Buildup'!M$11,$D64)/$D64</f>
        <v>1</v>
      </c>
      <c r="N64" s="112">
        <f>CEILING('Revenue Buildup'!N$11,$D64)/$D64</f>
        <v>1</v>
      </c>
      <c r="O64" s="112">
        <f>CEILING('Revenue Buildup'!O$11,$D64)/$D64</f>
        <v>1</v>
      </c>
      <c r="P64" s="112">
        <f>CEILING('Revenue Buildup'!P$11,$D64)/$D64</f>
        <v>1</v>
      </c>
      <c r="Q64" s="112">
        <f>CEILING('Revenue Buildup'!Q$11,$D64)/$D64</f>
        <v>1</v>
      </c>
      <c r="R64" s="112">
        <f>CEILING('Revenue Buildup'!R$11,$D64)/$D64</f>
        <v>1</v>
      </c>
      <c r="S64" s="112">
        <f>CEILING('Revenue Buildup'!S$11,$D64)/$D64</f>
        <v>1</v>
      </c>
      <c r="T64" s="112">
        <f>CEILING('Revenue Buildup'!T$11,$D64)/$D64</f>
        <v>1</v>
      </c>
      <c r="U64" s="112">
        <f>CEILING('Revenue Buildup'!U$11,$D64)/$D64</f>
        <v>1</v>
      </c>
      <c r="V64" s="112">
        <f>CEILING('Revenue Buildup'!V$11,$D64)/$D64</f>
        <v>1</v>
      </c>
      <c r="W64" s="112">
        <f>CEILING('Revenue Buildup'!W$11,$D64)/$D64</f>
        <v>1</v>
      </c>
      <c r="X64" s="112">
        <f>CEILING('Revenue Buildup'!X$11,$D64)/$D64</f>
        <v>1</v>
      </c>
      <c r="Y64" s="112">
        <f>CEILING('Revenue Buildup'!Y$11,$D64)/$D64</f>
        <v>1</v>
      </c>
      <c r="Z64" s="112">
        <f>CEILING('Revenue Buildup'!Z$11,$D64)/$D64</f>
        <v>1</v>
      </c>
      <c r="AA64" s="112">
        <f>CEILING('Revenue Buildup'!AA$11,$D64)/$D64</f>
        <v>1</v>
      </c>
      <c r="AB64" s="112">
        <f>CEILING('Revenue Buildup'!AB$11,$D64)/$D64</f>
        <v>1</v>
      </c>
      <c r="AC64" s="112">
        <f>CEILING('Revenue Buildup'!AC$11,$D64)/$D64</f>
        <v>1</v>
      </c>
      <c r="AD64" s="112">
        <f>CEILING('Revenue Buildup'!AD$11,$D64)/$D64</f>
        <v>1</v>
      </c>
      <c r="AE64" s="112">
        <f>CEILING('Revenue Buildup'!AE$11,$D64)/$D64</f>
        <v>1</v>
      </c>
      <c r="AF64" s="112">
        <f>CEILING('Revenue Buildup'!AF$11,$D64)/$D64</f>
        <v>1</v>
      </c>
      <c r="AG64" s="112">
        <f>CEILING('Revenue Buildup'!AG$11,$D64)/$D64</f>
        <v>1</v>
      </c>
      <c r="AH64" s="112">
        <f>CEILING('Revenue Buildup'!AH$11,$D64)/$D64</f>
        <v>1</v>
      </c>
      <c r="AI64" s="112">
        <f>CEILING('Revenue Buildup'!AI$11,$D64)/$D64</f>
        <v>1</v>
      </c>
      <c r="AJ64" s="112">
        <f>CEILING('Revenue Buildup'!AJ$11,$D64)/$D64</f>
        <v>1</v>
      </c>
      <c r="AK64" s="112">
        <f>CEILING('Revenue Buildup'!AK$11,$D64)/$D64</f>
        <v>1</v>
      </c>
      <c r="AL64" s="112">
        <f>CEILING('Revenue Buildup'!AL$11,$D64)/$D64</f>
        <v>1</v>
      </c>
      <c r="AM64" s="112">
        <f>CEILING('Revenue Buildup'!AM$11,$D64)/$D64</f>
        <v>1</v>
      </c>
      <c r="AN64" s="112">
        <f>CEILING('Revenue Buildup'!AN$11,$D64)/$D64</f>
        <v>1</v>
      </c>
      <c r="AO64" s="112">
        <f>CEILING('Revenue Buildup'!AO$11,$D64)/$D64</f>
        <v>1</v>
      </c>
      <c r="AP64" s="112">
        <f>CEILING('Revenue Buildup'!AP$11,$D64)/$D64</f>
        <v>1</v>
      </c>
      <c r="AQ64" s="112">
        <f>CEILING('Revenue Buildup'!AQ$11,$D64)/$D64</f>
        <v>1</v>
      </c>
      <c r="AR64" s="112">
        <f>CEILING('Revenue Buildup'!AR$11,$D64)/$D64</f>
        <v>1</v>
      </c>
      <c r="AS64" s="112">
        <f>CEILING('Revenue Buildup'!AS$11,$D64)/$D64</f>
        <v>1</v>
      </c>
      <c r="AT64" s="112">
        <f>CEILING('Revenue Buildup'!AT$11,$D64)/$D64</f>
        <v>1</v>
      </c>
      <c r="AU64" s="112">
        <f>CEILING('Revenue Buildup'!AU$11,$D64)/$D64</f>
        <v>1</v>
      </c>
      <c r="AV64" s="112">
        <f>CEILING('Revenue Buildup'!AV$11,$D64)/$D64</f>
        <v>1</v>
      </c>
      <c r="AW64" s="112">
        <f>CEILING('Revenue Buildup'!AW$11,$D64)/$D64</f>
        <v>1</v>
      </c>
      <c r="AX64" s="112">
        <f>CEILING('Revenue Buildup'!AX$11,$D64)/$D64</f>
        <v>1</v>
      </c>
      <c r="AY64" s="112">
        <f>CEILING('Revenue Buildup'!AY$11,$D64)/$D64</f>
        <v>1</v>
      </c>
      <c r="AZ64" s="112">
        <f>CEILING('Revenue Buildup'!AZ$11,$D64)/$D64</f>
        <v>1</v>
      </c>
      <c r="BA64" s="112">
        <f>CEILING('Revenue Buildup'!BA$11,$D64)/$D64</f>
        <v>1</v>
      </c>
      <c r="BB64" s="112">
        <f>CEILING('Revenue Buildup'!BB$11,$D64)/$D64</f>
        <v>1</v>
      </c>
      <c r="BC64" s="112">
        <f>CEILING('Revenue Buildup'!BC$11,$D64)/$D64</f>
        <v>1</v>
      </c>
      <c r="BD64" s="112">
        <f>CEILING('Revenue Buildup'!BD$11,$D64)/$D64</f>
        <v>1</v>
      </c>
      <c r="BE64" s="112">
        <f>CEILING('Revenue Buildup'!BE$11,$D64)/$D64</f>
        <v>1</v>
      </c>
      <c r="BF64" s="112">
        <f>CEILING('Revenue Buildup'!BF$11,$D64)/$D64</f>
        <v>1</v>
      </c>
      <c r="BG64" s="112">
        <f>CEILING('Revenue Buildup'!BG$11,$D64)/$D64</f>
        <v>1</v>
      </c>
      <c r="BH64" s="112">
        <f>CEILING('Revenue Buildup'!BH$11,$D64)/$D64</f>
        <v>1</v>
      </c>
      <c r="BI64" s="112">
        <f>CEILING('Revenue Buildup'!BI$11,$D64)/$D64</f>
        <v>1</v>
      </c>
      <c r="BJ64" s="112">
        <f>CEILING('Revenue Buildup'!BJ$11,$D64)/$D64</f>
        <v>1</v>
      </c>
      <c r="BK64" s="112">
        <f>CEILING('Revenue Buildup'!BK$11,$D64)/$D64</f>
        <v>1</v>
      </c>
      <c r="BL64" s="112">
        <f>CEILING('Revenue Buildup'!BL$11,$D64)/$D64</f>
        <v>1</v>
      </c>
      <c r="BM64" s="112">
        <f>CEILING('Revenue Buildup'!BM$11,$D64)/$D64</f>
        <v>1</v>
      </c>
      <c r="BN64" s="112">
        <f>CEILING('Revenue Buildup'!BN$11,$D64)/$D64</f>
        <v>1</v>
      </c>
      <c r="BO64" s="112">
        <f>CEILING('Revenue Buildup'!BO$11,$D64)/$D64</f>
        <v>1</v>
      </c>
      <c r="BP64" s="112">
        <f>CEILING('Revenue Buildup'!BP$11,$D64)/$D64</f>
        <v>1</v>
      </c>
      <c r="BQ64" s="112">
        <f>CEILING('Revenue Buildup'!BQ$11,$D64)/$D64</f>
        <v>1</v>
      </c>
      <c r="BR64" s="112">
        <f>CEILING('Revenue Buildup'!BR$11,$D64)/$D64</f>
        <v>2</v>
      </c>
      <c r="BS64" s="112">
        <f>CEILING('Revenue Buildup'!BS$11,$D64)/$D64</f>
        <v>2</v>
      </c>
      <c r="BT64" s="112">
        <f>CEILING('Revenue Buildup'!BT$11,$D64)/$D64</f>
        <v>2</v>
      </c>
      <c r="BU64" s="40"/>
    </row>
    <row r="65" spans="1:73" ht="15.6">
      <c r="A65" t="s">
        <v>96</v>
      </c>
      <c r="B65" s="59" t="s">
        <v>45</v>
      </c>
      <c r="C65" s="110">
        <v>1</v>
      </c>
      <c r="D65" s="64">
        <v>18</v>
      </c>
      <c r="E65" s="111"/>
      <c r="F65" s="60" t="s">
        <v>48</v>
      </c>
      <c r="G65" s="61">
        <v>2500</v>
      </c>
      <c r="H65" s="68">
        <v>0.1</v>
      </c>
      <c r="I65" s="59" t="s">
        <v>49</v>
      </c>
      <c r="L65" s="109"/>
      <c r="M65" s="112">
        <f>CEILING('Revenue Buildup'!M$11,$D65)/$D65</f>
        <v>1</v>
      </c>
      <c r="N65" s="112">
        <f>CEILING('Revenue Buildup'!N$11,$D65)/$D65</f>
        <v>1</v>
      </c>
      <c r="O65" s="112">
        <f>CEILING('Revenue Buildup'!O$11,$D65)/$D65</f>
        <v>1</v>
      </c>
      <c r="P65" s="112">
        <f>CEILING('Revenue Buildup'!P$11,$D65)/$D65</f>
        <v>1</v>
      </c>
      <c r="Q65" s="112">
        <f>CEILING('Revenue Buildup'!Q$11,$D65)/$D65</f>
        <v>1</v>
      </c>
      <c r="R65" s="112">
        <f>CEILING('Revenue Buildup'!R$11,$D65)/$D65</f>
        <v>1</v>
      </c>
      <c r="S65" s="112">
        <f>CEILING('Revenue Buildup'!S$11,$D65)/$D65</f>
        <v>1</v>
      </c>
      <c r="T65" s="112">
        <f>CEILING('Revenue Buildup'!T$11,$D65)/$D65</f>
        <v>1</v>
      </c>
      <c r="U65" s="112">
        <f>CEILING('Revenue Buildup'!U$11,$D65)/$D65</f>
        <v>1</v>
      </c>
      <c r="V65" s="112">
        <f>CEILING('Revenue Buildup'!V$11,$D65)/$D65</f>
        <v>1</v>
      </c>
      <c r="W65" s="112">
        <f>CEILING('Revenue Buildup'!W$11,$D65)/$D65</f>
        <v>1</v>
      </c>
      <c r="X65" s="112">
        <f>CEILING('Revenue Buildup'!X$11,$D65)/$D65</f>
        <v>1</v>
      </c>
      <c r="Y65" s="112">
        <f>CEILING('Revenue Buildup'!Y$11,$D65)/$D65</f>
        <v>1</v>
      </c>
      <c r="Z65" s="112">
        <f>CEILING('Revenue Buildup'!Z$11,$D65)/$D65</f>
        <v>1</v>
      </c>
      <c r="AA65" s="112">
        <f>CEILING('Revenue Buildup'!AA$11,$D65)/$D65</f>
        <v>1</v>
      </c>
      <c r="AB65" s="112">
        <f>CEILING('Revenue Buildup'!AB$11,$D65)/$D65</f>
        <v>1</v>
      </c>
      <c r="AC65" s="112">
        <f>CEILING('Revenue Buildup'!AC$11,$D65)/$D65</f>
        <v>1</v>
      </c>
      <c r="AD65" s="112">
        <f>CEILING('Revenue Buildup'!AD$11,$D65)/$D65</f>
        <v>1</v>
      </c>
      <c r="AE65" s="112">
        <f>CEILING('Revenue Buildup'!AE$11,$D65)/$D65</f>
        <v>1</v>
      </c>
      <c r="AF65" s="112">
        <f>CEILING('Revenue Buildup'!AF$11,$D65)/$D65</f>
        <v>1</v>
      </c>
      <c r="AG65" s="112">
        <f>CEILING('Revenue Buildup'!AG$11,$D65)/$D65</f>
        <v>1</v>
      </c>
      <c r="AH65" s="112">
        <f>CEILING('Revenue Buildup'!AH$11,$D65)/$D65</f>
        <v>1</v>
      </c>
      <c r="AI65" s="112">
        <f>CEILING('Revenue Buildup'!AI$11,$D65)/$D65</f>
        <v>1</v>
      </c>
      <c r="AJ65" s="112">
        <f>CEILING('Revenue Buildup'!AJ$11,$D65)/$D65</f>
        <v>1</v>
      </c>
      <c r="AK65" s="112">
        <f>CEILING('Revenue Buildup'!AK$11,$D65)/$D65</f>
        <v>1</v>
      </c>
      <c r="AL65" s="112">
        <f>CEILING('Revenue Buildup'!AL$11,$D65)/$D65</f>
        <v>1</v>
      </c>
      <c r="AM65" s="112">
        <f>CEILING('Revenue Buildup'!AM$11,$D65)/$D65</f>
        <v>1</v>
      </c>
      <c r="AN65" s="112">
        <f>CEILING('Revenue Buildup'!AN$11,$D65)/$D65</f>
        <v>1</v>
      </c>
      <c r="AO65" s="112">
        <f>CEILING('Revenue Buildup'!AO$11,$D65)/$D65</f>
        <v>1</v>
      </c>
      <c r="AP65" s="112">
        <f>CEILING('Revenue Buildup'!AP$11,$D65)/$D65</f>
        <v>1</v>
      </c>
      <c r="AQ65" s="112">
        <f>CEILING('Revenue Buildup'!AQ$11,$D65)/$D65</f>
        <v>1</v>
      </c>
      <c r="AR65" s="112">
        <f>CEILING('Revenue Buildup'!AR$11,$D65)/$D65</f>
        <v>1</v>
      </c>
      <c r="AS65" s="112">
        <f>CEILING('Revenue Buildup'!AS$11,$D65)/$D65</f>
        <v>1</v>
      </c>
      <c r="AT65" s="112">
        <f>CEILING('Revenue Buildup'!AT$11,$D65)/$D65</f>
        <v>1</v>
      </c>
      <c r="AU65" s="112">
        <f>CEILING('Revenue Buildup'!AU$11,$D65)/$D65</f>
        <v>1</v>
      </c>
      <c r="AV65" s="112">
        <f>CEILING('Revenue Buildup'!AV$11,$D65)/$D65</f>
        <v>1</v>
      </c>
      <c r="AW65" s="112">
        <f>CEILING('Revenue Buildup'!AW$11,$D65)/$D65</f>
        <v>1</v>
      </c>
      <c r="AX65" s="112">
        <f>CEILING('Revenue Buildup'!AX$11,$D65)/$D65</f>
        <v>1</v>
      </c>
      <c r="AY65" s="112">
        <f>CEILING('Revenue Buildup'!AY$11,$D65)/$D65</f>
        <v>1</v>
      </c>
      <c r="AZ65" s="112">
        <f>CEILING('Revenue Buildup'!AZ$11,$D65)/$D65</f>
        <v>1</v>
      </c>
      <c r="BA65" s="112">
        <f>CEILING('Revenue Buildup'!BA$11,$D65)/$D65</f>
        <v>1</v>
      </c>
      <c r="BB65" s="112">
        <f>CEILING('Revenue Buildup'!BB$11,$D65)/$D65</f>
        <v>1</v>
      </c>
      <c r="BC65" s="112">
        <f>CEILING('Revenue Buildup'!BC$11,$D65)/$D65</f>
        <v>1</v>
      </c>
      <c r="BD65" s="112">
        <f>CEILING('Revenue Buildup'!BD$11,$D65)/$D65</f>
        <v>1</v>
      </c>
      <c r="BE65" s="112">
        <f>CEILING('Revenue Buildup'!BE$11,$D65)/$D65</f>
        <v>1</v>
      </c>
      <c r="BF65" s="112">
        <f>CEILING('Revenue Buildup'!BF$11,$D65)/$D65</f>
        <v>1</v>
      </c>
      <c r="BG65" s="112">
        <f>CEILING('Revenue Buildup'!BG$11,$D65)/$D65</f>
        <v>1</v>
      </c>
      <c r="BH65" s="112">
        <f>CEILING('Revenue Buildup'!BH$11,$D65)/$D65</f>
        <v>1</v>
      </c>
      <c r="BI65" s="112">
        <f>CEILING('Revenue Buildup'!BI$11,$D65)/$D65</f>
        <v>1</v>
      </c>
      <c r="BJ65" s="112">
        <f>CEILING('Revenue Buildup'!BJ$11,$D65)/$D65</f>
        <v>1</v>
      </c>
      <c r="BK65" s="112">
        <f>CEILING('Revenue Buildup'!BK$11,$D65)/$D65</f>
        <v>1</v>
      </c>
      <c r="BL65" s="112">
        <f>CEILING('Revenue Buildup'!BL$11,$D65)/$D65</f>
        <v>1</v>
      </c>
      <c r="BM65" s="112">
        <f>CEILING('Revenue Buildup'!BM$11,$D65)/$D65</f>
        <v>1</v>
      </c>
      <c r="BN65" s="112">
        <f>CEILING('Revenue Buildup'!BN$11,$D65)/$D65</f>
        <v>1</v>
      </c>
      <c r="BO65" s="112">
        <f>CEILING('Revenue Buildup'!BO$11,$D65)/$D65</f>
        <v>1</v>
      </c>
      <c r="BP65" s="112">
        <f>CEILING('Revenue Buildup'!BP$11,$D65)/$D65</f>
        <v>1</v>
      </c>
      <c r="BQ65" s="112">
        <f>CEILING('Revenue Buildup'!BQ$11,$D65)/$D65</f>
        <v>1</v>
      </c>
      <c r="BR65" s="112">
        <f>CEILING('Revenue Buildup'!BR$11,$D65)/$D65</f>
        <v>2</v>
      </c>
      <c r="BS65" s="112">
        <f>CEILING('Revenue Buildup'!BS$11,$D65)/$D65</f>
        <v>2</v>
      </c>
      <c r="BT65" s="112">
        <f>CEILING('Revenue Buildup'!BT$11,$D65)/$D65</f>
        <v>2</v>
      </c>
      <c r="BU65" s="40" t="s">
        <v>89</v>
      </c>
    </row>
    <row r="66" spans="1:73" ht="15.6">
      <c r="A66" t="s">
        <v>97</v>
      </c>
      <c r="B66" s="59" t="s">
        <v>45</v>
      </c>
      <c r="C66" s="110">
        <v>1</v>
      </c>
      <c r="D66" s="64">
        <v>18</v>
      </c>
      <c r="E66" s="111"/>
      <c r="F66" s="60" t="s">
        <v>48</v>
      </c>
      <c r="G66" s="61">
        <v>3000</v>
      </c>
      <c r="H66" s="68">
        <v>0.1</v>
      </c>
      <c r="I66" s="59" t="s">
        <v>49</v>
      </c>
      <c r="L66" s="109"/>
      <c r="M66" s="112">
        <f>CEILING('Revenue Buildup'!M$11,$D66)/$D66</f>
        <v>1</v>
      </c>
      <c r="N66" s="112">
        <f>CEILING('Revenue Buildup'!N$11,$D66)/$D66</f>
        <v>1</v>
      </c>
      <c r="O66" s="112">
        <f>CEILING('Revenue Buildup'!O$11,$D66)/$D66</f>
        <v>1</v>
      </c>
      <c r="P66" s="112">
        <f>CEILING('Revenue Buildup'!P$11,$D66)/$D66</f>
        <v>1</v>
      </c>
      <c r="Q66" s="112">
        <f>CEILING('Revenue Buildup'!Q$11,$D66)/$D66</f>
        <v>1</v>
      </c>
      <c r="R66" s="112">
        <f>CEILING('Revenue Buildup'!R$11,$D66)/$D66</f>
        <v>1</v>
      </c>
      <c r="S66" s="112">
        <f>CEILING('Revenue Buildup'!S$11,$D66)/$D66</f>
        <v>1</v>
      </c>
      <c r="T66" s="112">
        <f>CEILING('Revenue Buildup'!T$11,$D66)/$D66</f>
        <v>1</v>
      </c>
      <c r="U66" s="112">
        <f>CEILING('Revenue Buildup'!U$11,$D66)/$D66</f>
        <v>1</v>
      </c>
      <c r="V66" s="112">
        <f>CEILING('Revenue Buildup'!V$11,$D66)/$D66</f>
        <v>1</v>
      </c>
      <c r="W66" s="112">
        <f>CEILING('Revenue Buildup'!W$11,$D66)/$D66</f>
        <v>1</v>
      </c>
      <c r="X66" s="112">
        <f>CEILING('Revenue Buildup'!X$11,$D66)/$D66</f>
        <v>1</v>
      </c>
      <c r="Y66" s="112">
        <f>CEILING('Revenue Buildup'!Y$11,$D66)/$D66</f>
        <v>1</v>
      </c>
      <c r="Z66" s="112">
        <f>CEILING('Revenue Buildup'!Z$11,$D66)/$D66</f>
        <v>1</v>
      </c>
      <c r="AA66" s="112">
        <f>CEILING('Revenue Buildup'!AA$11,$D66)/$D66</f>
        <v>1</v>
      </c>
      <c r="AB66" s="112">
        <f>CEILING('Revenue Buildup'!AB$11,$D66)/$D66</f>
        <v>1</v>
      </c>
      <c r="AC66" s="112">
        <f>CEILING('Revenue Buildup'!AC$11,$D66)/$D66</f>
        <v>1</v>
      </c>
      <c r="AD66" s="112">
        <f>CEILING('Revenue Buildup'!AD$11,$D66)/$D66</f>
        <v>1</v>
      </c>
      <c r="AE66" s="112">
        <f>CEILING('Revenue Buildup'!AE$11,$D66)/$D66</f>
        <v>1</v>
      </c>
      <c r="AF66" s="112">
        <f>CEILING('Revenue Buildup'!AF$11,$D66)/$D66</f>
        <v>1</v>
      </c>
      <c r="AG66" s="112">
        <f>CEILING('Revenue Buildup'!AG$11,$D66)/$D66</f>
        <v>1</v>
      </c>
      <c r="AH66" s="112">
        <f>CEILING('Revenue Buildup'!AH$11,$D66)/$D66</f>
        <v>1</v>
      </c>
      <c r="AI66" s="112">
        <f>CEILING('Revenue Buildup'!AI$11,$D66)/$D66</f>
        <v>1</v>
      </c>
      <c r="AJ66" s="112">
        <f>CEILING('Revenue Buildup'!AJ$11,$D66)/$D66</f>
        <v>1</v>
      </c>
      <c r="AK66" s="112">
        <f>CEILING('Revenue Buildup'!AK$11,$D66)/$D66</f>
        <v>1</v>
      </c>
      <c r="AL66" s="112">
        <f>CEILING('Revenue Buildup'!AL$11,$D66)/$D66</f>
        <v>1</v>
      </c>
      <c r="AM66" s="112">
        <f>CEILING('Revenue Buildup'!AM$11,$D66)/$D66</f>
        <v>1</v>
      </c>
      <c r="AN66" s="112">
        <f>CEILING('Revenue Buildup'!AN$11,$D66)/$D66</f>
        <v>1</v>
      </c>
      <c r="AO66" s="112">
        <f>CEILING('Revenue Buildup'!AO$11,$D66)/$D66</f>
        <v>1</v>
      </c>
      <c r="AP66" s="112">
        <f>CEILING('Revenue Buildup'!AP$11,$D66)/$D66</f>
        <v>1</v>
      </c>
      <c r="AQ66" s="112">
        <f>CEILING('Revenue Buildup'!AQ$11,$D66)/$D66</f>
        <v>1</v>
      </c>
      <c r="AR66" s="112">
        <f>CEILING('Revenue Buildup'!AR$11,$D66)/$D66</f>
        <v>1</v>
      </c>
      <c r="AS66" s="112">
        <f>CEILING('Revenue Buildup'!AS$11,$D66)/$D66</f>
        <v>1</v>
      </c>
      <c r="AT66" s="112">
        <f>CEILING('Revenue Buildup'!AT$11,$D66)/$D66</f>
        <v>1</v>
      </c>
      <c r="AU66" s="112">
        <f>CEILING('Revenue Buildup'!AU$11,$D66)/$D66</f>
        <v>1</v>
      </c>
      <c r="AV66" s="112">
        <f>CEILING('Revenue Buildup'!AV$11,$D66)/$D66</f>
        <v>1</v>
      </c>
      <c r="AW66" s="112">
        <f>CEILING('Revenue Buildup'!AW$11,$D66)/$D66</f>
        <v>1</v>
      </c>
      <c r="AX66" s="112">
        <f>CEILING('Revenue Buildup'!AX$11,$D66)/$D66</f>
        <v>1</v>
      </c>
      <c r="AY66" s="112">
        <f>CEILING('Revenue Buildup'!AY$11,$D66)/$D66</f>
        <v>1</v>
      </c>
      <c r="AZ66" s="112">
        <f>CEILING('Revenue Buildup'!AZ$11,$D66)/$D66</f>
        <v>1</v>
      </c>
      <c r="BA66" s="112">
        <f>CEILING('Revenue Buildup'!BA$11,$D66)/$D66</f>
        <v>1</v>
      </c>
      <c r="BB66" s="112">
        <f>CEILING('Revenue Buildup'!BB$11,$D66)/$D66</f>
        <v>1</v>
      </c>
      <c r="BC66" s="112">
        <f>CEILING('Revenue Buildup'!BC$11,$D66)/$D66</f>
        <v>1</v>
      </c>
      <c r="BD66" s="112">
        <f>CEILING('Revenue Buildup'!BD$11,$D66)/$D66</f>
        <v>1</v>
      </c>
      <c r="BE66" s="112">
        <f>CEILING('Revenue Buildup'!BE$11,$D66)/$D66</f>
        <v>1</v>
      </c>
      <c r="BF66" s="112">
        <f>CEILING('Revenue Buildup'!BF$11,$D66)/$D66</f>
        <v>1</v>
      </c>
      <c r="BG66" s="112">
        <f>CEILING('Revenue Buildup'!BG$11,$D66)/$D66</f>
        <v>1</v>
      </c>
      <c r="BH66" s="112">
        <f>CEILING('Revenue Buildup'!BH$11,$D66)/$D66</f>
        <v>1</v>
      </c>
      <c r="BI66" s="112">
        <f>CEILING('Revenue Buildup'!BI$11,$D66)/$D66</f>
        <v>1</v>
      </c>
      <c r="BJ66" s="112">
        <f>CEILING('Revenue Buildup'!BJ$11,$D66)/$D66</f>
        <v>1</v>
      </c>
      <c r="BK66" s="112">
        <f>CEILING('Revenue Buildup'!BK$11,$D66)/$D66</f>
        <v>1</v>
      </c>
      <c r="BL66" s="112">
        <f>CEILING('Revenue Buildup'!BL$11,$D66)/$D66</f>
        <v>1</v>
      </c>
      <c r="BM66" s="112">
        <f>CEILING('Revenue Buildup'!BM$11,$D66)/$D66</f>
        <v>1</v>
      </c>
      <c r="BN66" s="112">
        <f>CEILING('Revenue Buildup'!BN$11,$D66)/$D66</f>
        <v>1</v>
      </c>
      <c r="BO66" s="112">
        <f>CEILING('Revenue Buildup'!BO$11,$D66)/$D66</f>
        <v>1</v>
      </c>
      <c r="BP66" s="112">
        <f>CEILING('Revenue Buildup'!BP$11,$D66)/$D66</f>
        <v>1</v>
      </c>
      <c r="BQ66" s="112">
        <f>CEILING('Revenue Buildup'!BQ$11,$D66)/$D66</f>
        <v>1</v>
      </c>
      <c r="BR66" s="112">
        <f>CEILING('Revenue Buildup'!BR$11,$D66)/$D66</f>
        <v>2</v>
      </c>
      <c r="BS66" s="112">
        <f>CEILING('Revenue Buildup'!BS$11,$D66)/$D66</f>
        <v>2</v>
      </c>
      <c r="BT66" s="112">
        <f>CEILING('Revenue Buildup'!BT$11,$D66)/$D66</f>
        <v>2</v>
      </c>
      <c r="BU66" s="40" t="s">
        <v>89</v>
      </c>
    </row>
    <row r="67" spans="1:73" ht="15.6">
      <c r="A67" t="s">
        <v>98</v>
      </c>
      <c r="B67" s="59" t="s">
        <v>45</v>
      </c>
      <c r="C67" s="110">
        <v>1</v>
      </c>
      <c r="D67" s="64">
        <v>18</v>
      </c>
      <c r="E67" s="111"/>
      <c r="F67" s="60" t="s">
        <v>48</v>
      </c>
      <c r="G67" s="61">
        <v>1174.1223435482</v>
      </c>
      <c r="H67" s="68">
        <v>0.1</v>
      </c>
      <c r="I67" s="59" t="s">
        <v>49</v>
      </c>
      <c r="L67" s="109"/>
      <c r="M67" s="112">
        <f>CEILING('Revenue Buildup'!M$11,$D67)/$D67</f>
        <v>1</v>
      </c>
      <c r="N67" s="112">
        <f>CEILING('Revenue Buildup'!N$11,$D67)/$D67</f>
        <v>1</v>
      </c>
      <c r="O67" s="112">
        <f>CEILING('Revenue Buildup'!O$11,$D67)/$D67</f>
        <v>1</v>
      </c>
      <c r="P67" s="112">
        <f>CEILING('Revenue Buildup'!P$11,$D67)/$D67</f>
        <v>1</v>
      </c>
      <c r="Q67" s="112">
        <f>CEILING('Revenue Buildup'!Q$11,$D67)/$D67</f>
        <v>1</v>
      </c>
      <c r="R67" s="112">
        <f>CEILING('Revenue Buildup'!R$11,$D67)/$D67</f>
        <v>1</v>
      </c>
      <c r="S67" s="112">
        <f>CEILING('Revenue Buildup'!S$11,$D67)/$D67</f>
        <v>1</v>
      </c>
      <c r="T67" s="112">
        <f>CEILING('Revenue Buildup'!T$11,$D67)/$D67</f>
        <v>1</v>
      </c>
      <c r="U67" s="112">
        <f>CEILING('Revenue Buildup'!U$11,$D67)/$D67</f>
        <v>1</v>
      </c>
      <c r="V67" s="112">
        <f>CEILING('Revenue Buildup'!V$11,$D67)/$D67</f>
        <v>1</v>
      </c>
      <c r="W67" s="112">
        <f>CEILING('Revenue Buildup'!W$11,$D67)/$D67</f>
        <v>1</v>
      </c>
      <c r="X67" s="112">
        <f>CEILING('Revenue Buildup'!X$11,$D67)/$D67</f>
        <v>1</v>
      </c>
      <c r="Y67" s="112">
        <f>CEILING('Revenue Buildup'!Y$11,$D67)/$D67</f>
        <v>1</v>
      </c>
      <c r="Z67" s="112">
        <f>CEILING('Revenue Buildup'!Z$11,$D67)/$D67</f>
        <v>1</v>
      </c>
      <c r="AA67" s="112">
        <f>CEILING('Revenue Buildup'!AA$11,$D67)/$D67</f>
        <v>1</v>
      </c>
      <c r="AB67" s="112">
        <f>CEILING('Revenue Buildup'!AB$11,$D67)/$D67</f>
        <v>1</v>
      </c>
      <c r="AC67" s="112">
        <f>CEILING('Revenue Buildup'!AC$11,$D67)/$D67</f>
        <v>1</v>
      </c>
      <c r="AD67" s="112">
        <f>CEILING('Revenue Buildup'!AD$11,$D67)/$D67</f>
        <v>1</v>
      </c>
      <c r="AE67" s="112">
        <f>CEILING('Revenue Buildup'!AE$11,$D67)/$D67</f>
        <v>1</v>
      </c>
      <c r="AF67" s="112">
        <f>CEILING('Revenue Buildup'!AF$11,$D67)/$D67</f>
        <v>1</v>
      </c>
      <c r="AG67" s="112">
        <f>CEILING('Revenue Buildup'!AG$11,$D67)/$D67</f>
        <v>1</v>
      </c>
      <c r="AH67" s="112">
        <f>CEILING('Revenue Buildup'!AH$11,$D67)/$D67</f>
        <v>1</v>
      </c>
      <c r="AI67" s="112">
        <f>CEILING('Revenue Buildup'!AI$11,$D67)/$D67</f>
        <v>1</v>
      </c>
      <c r="AJ67" s="112">
        <f>CEILING('Revenue Buildup'!AJ$11,$D67)/$D67</f>
        <v>1</v>
      </c>
      <c r="AK67" s="112">
        <f>CEILING('Revenue Buildup'!AK$11,$D67)/$D67</f>
        <v>1</v>
      </c>
      <c r="AL67" s="112">
        <f>CEILING('Revenue Buildup'!AL$11,$D67)/$D67</f>
        <v>1</v>
      </c>
      <c r="AM67" s="112">
        <f>CEILING('Revenue Buildup'!AM$11,$D67)/$D67</f>
        <v>1</v>
      </c>
      <c r="AN67" s="112">
        <f>CEILING('Revenue Buildup'!AN$11,$D67)/$D67</f>
        <v>1</v>
      </c>
      <c r="AO67" s="112">
        <f>CEILING('Revenue Buildup'!AO$11,$D67)/$D67</f>
        <v>1</v>
      </c>
      <c r="AP67" s="112">
        <f>CEILING('Revenue Buildup'!AP$11,$D67)/$D67</f>
        <v>1</v>
      </c>
      <c r="AQ67" s="112">
        <f>CEILING('Revenue Buildup'!AQ$11,$D67)/$D67</f>
        <v>1</v>
      </c>
      <c r="AR67" s="112">
        <f>CEILING('Revenue Buildup'!AR$11,$D67)/$D67</f>
        <v>1</v>
      </c>
      <c r="AS67" s="112">
        <f>CEILING('Revenue Buildup'!AS$11,$D67)/$D67</f>
        <v>1</v>
      </c>
      <c r="AT67" s="112">
        <f>CEILING('Revenue Buildup'!AT$11,$D67)/$D67</f>
        <v>1</v>
      </c>
      <c r="AU67" s="112">
        <f>CEILING('Revenue Buildup'!AU$11,$D67)/$D67</f>
        <v>1</v>
      </c>
      <c r="AV67" s="112">
        <f>CEILING('Revenue Buildup'!AV$11,$D67)/$D67</f>
        <v>1</v>
      </c>
      <c r="AW67" s="112">
        <f>CEILING('Revenue Buildup'!AW$11,$D67)/$D67</f>
        <v>1</v>
      </c>
      <c r="AX67" s="112">
        <f>CEILING('Revenue Buildup'!AX$11,$D67)/$D67</f>
        <v>1</v>
      </c>
      <c r="AY67" s="112">
        <f>CEILING('Revenue Buildup'!AY$11,$D67)/$D67</f>
        <v>1</v>
      </c>
      <c r="AZ67" s="112">
        <f>CEILING('Revenue Buildup'!AZ$11,$D67)/$D67</f>
        <v>1</v>
      </c>
      <c r="BA67" s="112">
        <f>CEILING('Revenue Buildup'!BA$11,$D67)/$D67</f>
        <v>1</v>
      </c>
      <c r="BB67" s="112">
        <f>CEILING('Revenue Buildup'!BB$11,$D67)/$D67</f>
        <v>1</v>
      </c>
      <c r="BC67" s="112">
        <f>CEILING('Revenue Buildup'!BC$11,$D67)/$D67</f>
        <v>1</v>
      </c>
      <c r="BD67" s="112">
        <f>CEILING('Revenue Buildup'!BD$11,$D67)/$D67</f>
        <v>1</v>
      </c>
      <c r="BE67" s="112">
        <f>CEILING('Revenue Buildup'!BE$11,$D67)/$D67</f>
        <v>1</v>
      </c>
      <c r="BF67" s="112">
        <f>CEILING('Revenue Buildup'!BF$11,$D67)/$D67</f>
        <v>1</v>
      </c>
      <c r="BG67" s="112">
        <f>CEILING('Revenue Buildup'!BG$11,$D67)/$D67</f>
        <v>1</v>
      </c>
      <c r="BH67" s="112">
        <f>CEILING('Revenue Buildup'!BH$11,$D67)/$D67</f>
        <v>1</v>
      </c>
      <c r="BI67" s="112">
        <f>CEILING('Revenue Buildup'!BI$11,$D67)/$D67</f>
        <v>1</v>
      </c>
      <c r="BJ67" s="112">
        <f>CEILING('Revenue Buildup'!BJ$11,$D67)/$D67</f>
        <v>1</v>
      </c>
      <c r="BK67" s="112">
        <f>CEILING('Revenue Buildup'!BK$11,$D67)/$D67</f>
        <v>1</v>
      </c>
      <c r="BL67" s="112">
        <f>CEILING('Revenue Buildup'!BL$11,$D67)/$D67</f>
        <v>1</v>
      </c>
      <c r="BM67" s="112">
        <f>CEILING('Revenue Buildup'!BM$11,$D67)/$D67</f>
        <v>1</v>
      </c>
      <c r="BN67" s="112">
        <f>CEILING('Revenue Buildup'!BN$11,$D67)/$D67</f>
        <v>1</v>
      </c>
      <c r="BO67" s="112">
        <f>CEILING('Revenue Buildup'!BO$11,$D67)/$D67</f>
        <v>1</v>
      </c>
      <c r="BP67" s="112">
        <f>CEILING('Revenue Buildup'!BP$11,$D67)/$D67</f>
        <v>1</v>
      </c>
      <c r="BQ67" s="112">
        <f>CEILING('Revenue Buildup'!BQ$11,$D67)/$D67</f>
        <v>1</v>
      </c>
      <c r="BR67" s="112">
        <f>CEILING('Revenue Buildup'!BR$11,$D67)/$D67</f>
        <v>2</v>
      </c>
      <c r="BS67" s="112">
        <f>CEILING('Revenue Buildup'!BS$11,$D67)/$D67</f>
        <v>2</v>
      </c>
      <c r="BT67" s="112">
        <f>CEILING('Revenue Buildup'!BT$11,$D67)/$D67</f>
        <v>2</v>
      </c>
      <c r="BU67" s="40" t="s">
        <v>89</v>
      </c>
    </row>
    <row r="68" spans="1:73" ht="15.6">
      <c r="A68" t="s">
        <v>99</v>
      </c>
      <c r="B68" s="59" t="s">
        <v>45</v>
      </c>
      <c r="C68" s="110">
        <v>1</v>
      </c>
      <c r="D68" s="64">
        <v>18</v>
      </c>
      <c r="E68" s="111"/>
      <c r="F68" s="60" t="s">
        <v>48</v>
      </c>
      <c r="G68" s="61">
        <v>821.88564048373803</v>
      </c>
      <c r="H68" s="68">
        <v>0.1</v>
      </c>
      <c r="I68" s="59" t="s">
        <v>49</v>
      </c>
      <c r="L68" s="109"/>
      <c r="M68" s="112">
        <f>CEILING('Revenue Buildup'!M$11,$D68)/$D68</f>
        <v>1</v>
      </c>
      <c r="N68" s="112">
        <f>CEILING('Revenue Buildup'!N$11,$D68)/$D68</f>
        <v>1</v>
      </c>
      <c r="O68" s="112">
        <f>CEILING('Revenue Buildup'!O$11,$D68)/$D68</f>
        <v>1</v>
      </c>
      <c r="P68" s="112">
        <f>CEILING('Revenue Buildup'!P$11,$D68)/$D68</f>
        <v>1</v>
      </c>
      <c r="Q68" s="112">
        <f>CEILING('Revenue Buildup'!Q$11,$D68)/$D68</f>
        <v>1</v>
      </c>
      <c r="R68" s="112">
        <f>CEILING('Revenue Buildup'!R$11,$D68)/$D68</f>
        <v>1</v>
      </c>
      <c r="S68" s="112">
        <f>CEILING('Revenue Buildup'!S$11,$D68)/$D68</f>
        <v>1</v>
      </c>
      <c r="T68" s="112">
        <f>CEILING('Revenue Buildup'!T$11,$D68)/$D68</f>
        <v>1</v>
      </c>
      <c r="U68" s="112">
        <f>CEILING('Revenue Buildup'!U$11,$D68)/$D68</f>
        <v>1</v>
      </c>
      <c r="V68" s="112">
        <f>CEILING('Revenue Buildup'!V$11,$D68)/$D68</f>
        <v>1</v>
      </c>
      <c r="W68" s="112">
        <f>CEILING('Revenue Buildup'!W$11,$D68)/$D68</f>
        <v>1</v>
      </c>
      <c r="X68" s="112">
        <f>CEILING('Revenue Buildup'!X$11,$D68)/$D68</f>
        <v>1</v>
      </c>
      <c r="Y68" s="112">
        <f>CEILING('Revenue Buildup'!Y$11,$D68)/$D68</f>
        <v>1</v>
      </c>
      <c r="Z68" s="112">
        <f>CEILING('Revenue Buildup'!Z$11,$D68)/$D68</f>
        <v>1</v>
      </c>
      <c r="AA68" s="112">
        <f>CEILING('Revenue Buildup'!AA$11,$D68)/$D68</f>
        <v>1</v>
      </c>
      <c r="AB68" s="112">
        <f>CEILING('Revenue Buildup'!AB$11,$D68)/$D68</f>
        <v>1</v>
      </c>
      <c r="AC68" s="112">
        <f>CEILING('Revenue Buildup'!AC$11,$D68)/$D68</f>
        <v>1</v>
      </c>
      <c r="AD68" s="112">
        <f>CEILING('Revenue Buildup'!AD$11,$D68)/$D68</f>
        <v>1</v>
      </c>
      <c r="AE68" s="112">
        <f>CEILING('Revenue Buildup'!AE$11,$D68)/$D68</f>
        <v>1</v>
      </c>
      <c r="AF68" s="112">
        <f>CEILING('Revenue Buildup'!AF$11,$D68)/$D68</f>
        <v>1</v>
      </c>
      <c r="AG68" s="112">
        <f>CEILING('Revenue Buildup'!AG$11,$D68)/$D68</f>
        <v>1</v>
      </c>
      <c r="AH68" s="112">
        <f>CEILING('Revenue Buildup'!AH$11,$D68)/$D68</f>
        <v>1</v>
      </c>
      <c r="AI68" s="112">
        <f>CEILING('Revenue Buildup'!AI$11,$D68)/$D68</f>
        <v>1</v>
      </c>
      <c r="AJ68" s="112">
        <f>CEILING('Revenue Buildup'!AJ$11,$D68)/$D68</f>
        <v>1</v>
      </c>
      <c r="AK68" s="112">
        <f>CEILING('Revenue Buildup'!AK$11,$D68)/$D68</f>
        <v>1</v>
      </c>
      <c r="AL68" s="112">
        <f>CEILING('Revenue Buildup'!AL$11,$D68)/$D68</f>
        <v>1</v>
      </c>
      <c r="AM68" s="112">
        <f>CEILING('Revenue Buildup'!AM$11,$D68)/$D68</f>
        <v>1</v>
      </c>
      <c r="AN68" s="112">
        <f>CEILING('Revenue Buildup'!AN$11,$D68)/$D68</f>
        <v>1</v>
      </c>
      <c r="AO68" s="112">
        <f>CEILING('Revenue Buildup'!AO$11,$D68)/$D68</f>
        <v>1</v>
      </c>
      <c r="AP68" s="112">
        <f>CEILING('Revenue Buildup'!AP$11,$D68)/$D68</f>
        <v>1</v>
      </c>
      <c r="AQ68" s="112">
        <f>CEILING('Revenue Buildup'!AQ$11,$D68)/$D68</f>
        <v>1</v>
      </c>
      <c r="AR68" s="112">
        <f>CEILING('Revenue Buildup'!AR$11,$D68)/$D68</f>
        <v>1</v>
      </c>
      <c r="AS68" s="112">
        <f>CEILING('Revenue Buildup'!AS$11,$D68)/$D68</f>
        <v>1</v>
      </c>
      <c r="AT68" s="112">
        <f>CEILING('Revenue Buildup'!AT$11,$D68)/$D68</f>
        <v>1</v>
      </c>
      <c r="AU68" s="112">
        <f>CEILING('Revenue Buildup'!AU$11,$D68)/$D68</f>
        <v>1</v>
      </c>
      <c r="AV68" s="112">
        <f>CEILING('Revenue Buildup'!AV$11,$D68)/$D68</f>
        <v>1</v>
      </c>
      <c r="AW68" s="112">
        <f>CEILING('Revenue Buildup'!AW$11,$D68)/$D68</f>
        <v>1</v>
      </c>
      <c r="AX68" s="112">
        <f>CEILING('Revenue Buildup'!AX$11,$D68)/$D68</f>
        <v>1</v>
      </c>
      <c r="AY68" s="112">
        <f>CEILING('Revenue Buildup'!AY$11,$D68)/$D68</f>
        <v>1</v>
      </c>
      <c r="AZ68" s="112">
        <f>CEILING('Revenue Buildup'!AZ$11,$D68)/$D68</f>
        <v>1</v>
      </c>
      <c r="BA68" s="112">
        <f>CEILING('Revenue Buildup'!BA$11,$D68)/$D68</f>
        <v>1</v>
      </c>
      <c r="BB68" s="112">
        <f>CEILING('Revenue Buildup'!BB$11,$D68)/$D68</f>
        <v>1</v>
      </c>
      <c r="BC68" s="112">
        <f>CEILING('Revenue Buildup'!BC$11,$D68)/$D68</f>
        <v>1</v>
      </c>
      <c r="BD68" s="112">
        <f>CEILING('Revenue Buildup'!BD$11,$D68)/$D68</f>
        <v>1</v>
      </c>
      <c r="BE68" s="112">
        <f>CEILING('Revenue Buildup'!BE$11,$D68)/$D68</f>
        <v>1</v>
      </c>
      <c r="BF68" s="112">
        <f>CEILING('Revenue Buildup'!BF$11,$D68)/$D68</f>
        <v>1</v>
      </c>
      <c r="BG68" s="112">
        <f>CEILING('Revenue Buildup'!BG$11,$D68)/$D68</f>
        <v>1</v>
      </c>
      <c r="BH68" s="112">
        <f>CEILING('Revenue Buildup'!BH$11,$D68)/$D68</f>
        <v>1</v>
      </c>
      <c r="BI68" s="112">
        <f>CEILING('Revenue Buildup'!BI$11,$D68)/$D68</f>
        <v>1</v>
      </c>
      <c r="BJ68" s="112">
        <f>CEILING('Revenue Buildup'!BJ$11,$D68)/$D68</f>
        <v>1</v>
      </c>
      <c r="BK68" s="112">
        <f>CEILING('Revenue Buildup'!BK$11,$D68)/$D68</f>
        <v>1</v>
      </c>
      <c r="BL68" s="112">
        <f>CEILING('Revenue Buildup'!BL$11,$D68)/$D68</f>
        <v>1</v>
      </c>
      <c r="BM68" s="112">
        <f>CEILING('Revenue Buildup'!BM$11,$D68)/$D68</f>
        <v>1</v>
      </c>
      <c r="BN68" s="112">
        <f>CEILING('Revenue Buildup'!BN$11,$D68)/$D68</f>
        <v>1</v>
      </c>
      <c r="BO68" s="112">
        <f>CEILING('Revenue Buildup'!BO$11,$D68)/$D68</f>
        <v>1</v>
      </c>
      <c r="BP68" s="112">
        <f>CEILING('Revenue Buildup'!BP$11,$D68)/$D68</f>
        <v>1</v>
      </c>
      <c r="BQ68" s="112">
        <f>CEILING('Revenue Buildup'!BQ$11,$D68)/$D68</f>
        <v>1</v>
      </c>
      <c r="BR68" s="112">
        <f>CEILING('Revenue Buildup'!BR$11,$D68)/$D68</f>
        <v>2</v>
      </c>
      <c r="BS68" s="112">
        <f>CEILING('Revenue Buildup'!BS$11,$D68)/$D68</f>
        <v>2</v>
      </c>
      <c r="BT68" s="112">
        <f>CEILING('Revenue Buildup'!BT$11,$D68)/$D68</f>
        <v>2</v>
      </c>
      <c r="BU68" s="40" t="s">
        <v>89</v>
      </c>
    </row>
    <row r="69" spans="1:73" ht="15.6">
      <c r="A69" t="s">
        <v>100</v>
      </c>
      <c r="B69" s="59" t="s">
        <v>45</v>
      </c>
      <c r="C69" s="110">
        <v>1</v>
      </c>
      <c r="D69" s="64">
        <v>18</v>
      </c>
      <c r="E69" s="111"/>
      <c r="F69" s="60" t="s">
        <v>48</v>
      </c>
      <c r="G69" s="61">
        <v>1408.9468122578401</v>
      </c>
      <c r="H69" s="68">
        <v>0.1</v>
      </c>
      <c r="I69" s="59" t="s">
        <v>49</v>
      </c>
      <c r="L69" s="109"/>
      <c r="M69" s="112">
        <f>CEILING('Revenue Buildup'!M$11,$D69)/$D69</f>
        <v>1</v>
      </c>
      <c r="N69" s="112">
        <f>CEILING('Revenue Buildup'!N$11,$D69)/$D69</f>
        <v>1</v>
      </c>
      <c r="O69" s="112">
        <f>CEILING('Revenue Buildup'!O$11,$D69)/$D69</f>
        <v>1</v>
      </c>
      <c r="P69" s="112">
        <f>CEILING('Revenue Buildup'!P$11,$D69)/$D69</f>
        <v>1</v>
      </c>
      <c r="Q69" s="112">
        <f>CEILING('Revenue Buildup'!Q$11,$D69)/$D69</f>
        <v>1</v>
      </c>
      <c r="R69" s="112">
        <f>CEILING('Revenue Buildup'!R$11,$D69)/$D69</f>
        <v>1</v>
      </c>
      <c r="S69" s="112">
        <f>CEILING('Revenue Buildup'!S$11,$D69)/$D69</f>
        <v>1</v>
      </c>
      <c r="T69" s="112">
        <f>CEILING('Revenue Buildup'!T$11,$D69)/$D69</f>
        <v>1</v>
      </c>
      <c r="U69" s="112">
        <f>CEILING('Revenue Buildup'!U$11,$D69)/$D69</f>
        <v>1</v>
      </c>
      <c r="V69" s="112">
        <f>CEILING('Revenue Buildup'!V$11,$D69)/$D69</f>
        <v>1</v>
      </c>
      <c r="W69" s="112">
        <f>CEILING('Revenue Buildup'!W$11,$D69)/$D69</f>
        <v>1</v>
      </c>
      <c r="X69" s="112">
        <f>CEILING('Revenue Buildup'!X$11,$D69)/$D69</f>
        <v>1</v>
      </c>
      <c r="Y69" s="112">
        <f>CEILING('Revenue Buildup'!Y$11,$D69)/$D69</f>
        <v>1</v>
      </c>
      <c r="Z69" s="112">
        <f>CEILING('Revenue Buildup'!Z$11,$D69)/$D69</f>
        <v>1</v>
      </c>
      <c r="AA69" s="112">
        <f>CEILING('Revenue Buildup'!AA$11,$D69)/$D69</f>
        <v>1</v>
      </c>
      <c r="AB69" s="112">
        <f>CEILING('Revenue Buildup'!AB$11,$D69)/$D69</f>
        <v>1</v>
      </c>
      <c r="AC69" s="112">
        <f>CEILING('Revenue Buildup'!AC$11,$D69)/$D69</f>
        <v>1</v>
      </c>
      <c r="AD69" s="112">
        <f>CEILING('Revenue Buildup'!AD$11,$D69)/$D69</f>
        <v>1</v>
      </c>
      <c r="AE69" s="112">
        <f>CEILING('Revenue Buildup'!AE$11,$D69)/$D69</f>
        <v>1</v>
      </c>
      <c r="AF69" s="112">
        <f>CEILING('Revenue Buildup'!AF$11,$D69)/$D69</f>
        <v>1</v>
      </c>
      <c r="AG69" s="112">
        <f>CEILING('Revenue Buildup'!AG$11,$D69)/$D69</f>
        <v>1</v>
      </c>
      <c r="AH69" s="112">
        <f>CEILING('Revenue Buildup'!AH$11,$D69)/$D69</f>
        <v>1</v>
      </c>
      <c r="AI69" s="112">
        <f>CEILING('Revenue Buildup'!AI$11,$D69)/$D69</f>
        <v>1</v>
      </c>
      <c r="AJ69" s="112">
        <f>CEILING('Revenue Buildup'!AJ$11,$D69)/$D69</f>
        <v>1</v>
      </c>
      <c r="AK69" s="112">
        <f>CEILING('Revenue Buildup'!AK$11,$D69)/$D69</f>
        <v>1</v>
      </c>
      <c r="AL69" s="112">
        <f>CEILING('Revenue Buildup'!AL$11,$D69)/$D69</f>
        <v>1</v>
      </c>
      <c r="AM69" s="112">
        <f>CEILING('Revenue Buildup'!AM$11,$D69)/$D69</f>
        <v>1</v>
      </c>
      <c r="AN69" s="112">
        <f>CEILING('Revenue Buildup'!AN$11,$D69)/$D69</f>
        <v>1</v>
      </c>
      <c r="AO69" s="112">
        <f>CEILING('Revenue Buildup'!AO$11,$D69)/$D69</f>
        <v>1</v>
      </c>
      <c r="AP69" s="112">
        <f>CEILING('Revenue Buildup'!AP$11,$D69)/$D69</f>
        <v>1</v>
      </c>
      <c r="AQ69" s="112">
        <f>CEILING('Revenue Buildup'!AQ$11,$D69)/$D69</f>
        <v>1</v>
      </c>
      <c r="AR69" s="112">
        <f>CEILING('Revenue Buildup'!AR$11,$D69)/$D69</f>
        <v>1</v>
      </c>
      <c r="AS69" s="112">
        <f>CEILING('Revenue Buildup'!AS$11,$D69)/$D69</f>
        <v>1</v>
      </c>
      <c r="AT69" s="112">
        <f>CEILING('Revenue Buildup'!AT$11,$D69)/$D69</f>
        <v>1</v>
      </c>
      <c r="AU69" s="112">
        <f>CEILING('Revenue Buildup'!AU$11,$D69)/$D69</f>
        <v>1</v>
      </c>
      <c r="AV69" s="112">
        <f>CEILING('Revenue Buildup'!AV$11,$D69)/$D69</f>
        <v>1</v>
      </c>
      <c r="AW69" s="112">
        <f>CEILING('Revenue Buildup'!AW$11,$D69)/$D69</f>
        <v>1</v>
      </c>
      <c r="AX69" s="112">
        <f>CEILING('Revenue Buildup'!AX$11,$D69)/$D69</f>
        <v>1</v>
      </c>
      <c r="AY69" s="112">
        <f>CEILING('Revenue Buildup'!AY$11,$D69)/$D69</f>
        <v>1</v>
      </c>
      <c r="AZ69" s="112">
        <f>CEILING('Revenue Buildup'!AZ$11,$D69)/$D69</f>
        <v>1</v>
      </c>
      <c r="BA69" s="112">
        <f>CEILING('Revenue Buildup'!BA$11,$D69)/$D69</f>
        <v>1</v>
      </c>
      <c r="BB69" s="112">
        <f>CEILING('Revenue Buildup'!BB$11,$D69)/$D69</f>
        <v>1</v>
      </c>
      <c r="BC69" s="112">
        <f>CEILING('Revenue Buildup'!BC$11,$D69)/$D69</f>
        <v>1</v>
      </c>
      <c r="BD69" s="112">
        <f>CEILING('Revenue Buildup'!BD$11,$D69)/$D69</f>
        <v>1</v>
      </c>
      <c r="BE69" s="112">
        <f>CEILING('Revenue Buildup'!BE$11,$D69)/$D69</f>
        <v>1</v>
      </c>
      <c r="BF69" s="112">
        <f>CEILING('Revenue Buildup'!BF$11,$D69)/$D69</f>
        <v>1</v>
      </c>
      <c r="BG69" s="112">
        <f>CEILING('Revenue Buildup'!BG$11,$D69)/$D69</f>
        <v>1</v>
      </c>
      <c r="BH69" s="112">
        <f>CEILING('Revenue Buildup'!BH$11,$D69)/$D69</f>
        <v>1</v>
      </c>
      <c r="BI69" s="112">
        <f>CEILING('Revenue Buildup'!BI$11,$D69)/$D69</f>
        <v>1</v>
      </c>
      <c r="BJ69" s="112">
        <f>CEILING('Revenue Buildup'!BJ$11,$D69)/$D69</f>
        <v>1</v>
      </c>
      <c r="BK69" s="112">
        <f>CEILING('Revenue Buildup'!BK$11,$D69)/$D69</f>
        <v>1</v>
      </c>
      <c r="BL69" s="112">
        <f>CEILING('Revenue Buildup'!BL$11,$D69)/$D69</f>
        <v>1</v>
      </c>
      <c r="BM69" s="112">
        <f>CEILING('Revenue Buildup'!BM$11,$D69)/$D69</f>
        <v>1</v>
      </c>
      <c r="BN69" s="112">
        <f>CEILING('Revenue Buildup'!BN$11,$D69)/$D69</f>
        <v>1</v>
      </c>
      <c r="BO69" s="112">
        <f>CEILING('Revenue Buildup'!BO$11,$D69)/$D69</f>
        <v>1</v>
      </c>
      <c r="BP69" s="112">
        <f>CEILING('Revenue Buildup'!BP$11,$D69)/$D69</f>
        <v>1</v>
      </c>
      <c r="BQ69" s="112">
        <f>CEILING('Revenue Buildup'!BQ$11,$D69)/$D69</f>
        <v>1</v>
      </c>
      <c r="BR69" s="112">
        <f>CEILING('Revenue Buildup'!BR$11,$D69)/$D69</f>
        <v>2</v>
      </c>
      <c r="BS69" s="112">
        <f>CEILING('Revenue Buildup'!BS$11,$D69)/$D69</f>
        <v>2</v>
      </c>
      <c r="BT69" s="112">
        <f>CEILING('Revenue Buildup'!BT$11,$D69)/$D69</f>
        <v>2</v>
      </c>
      <c r="BU69" s="40" t="s">
        <v>89</v>
      </c>
    </row>
    <row r="70" spans="1:73" ht="15.6">
      <c r="A70" t="s">
        <v>101</v>
      </c>
      <c r="B70" s="59" t="s">
        <v>45</v>
      </c>
      <c r="C70" s="110">
        <v>1</v>
      </c>
      <c r="D70" s="64">
        <v>18</v>
      </c>
      <c r="E70" s="111"/>
      <c r="F70" s="60" t="s">
        <v>48</v>
      </c>
      <c r="G70" s="61">
        <v>763.17952330632897</v>
      </c>
      <c r="H70" s="68">
        <v>0.1</v>
      </c>
      <c r="I70" s="59" t="s">
        <v>49</v>
      </c>
      <c r="L70" s="109"/>
      <c r="M70" s="112">
        <f>CEILING('Revenue Buildup'!M$11,$D70)/$D70</f>
        <v>1</v>
      </c>
      <c r="N70" s="112">
        <f>CEILING('Revenue Buildup'!N$11,$D70)/$D70</f>
        <v>1</v>
      </c>
      <c r="O70" s="112">
        <f>CEILING('Revenue Buildup'!O$11,$D70)/$D70</f>
        <v>1</v>
      </c>
      <c r="P70" s="112">
        <f>CEILING('Revenue Buildup'!P$11,$D70)/$D70</f>
        <v>1</v>
      </c>
      <c r="Q70" s="112">
        <f>CEILING('Revenue Buildup'!Q$11,$D70)/$D70</f>
        <v>1</v>
      </c>
      <c r="R70" s="112">
        <f>CEILING('Revenue Buildup'!R$11,$D70)/$D70</f>
        <v>1</v>
      </c>
      <c r="S70" s="112">
        <f>CEILING('Revenue Buildup'!S$11,$D70)/$D70</f>
        <v>1</v>
      </c>
      <c r="T70" s="112">
        <f>CEILING('Revenue Buildup'!T$11,$D70)/$D70</f>
        <v>1</v>
      </c>
      <c r="U70" s="112">
        <f>CEILING('Revenue Buildup'!U$11,$D70)/$D70</f>
        <v>1</v>
      </c>
      <c r="V70" s="112">
        <f>CEILING('Revenue Buildup'!V$11,$D70)/$D70</f>
        <v>1</v>
      </c>
      <c r="W70" s="112">
        <f>CEILING('Revenue Buildup'!W$11,$D70)/$D70</f>
        <v>1</v>
      </c>
      <c r="X70" s="112">
        <f>CEILING('Revenue Buildup'!X$11,$D70)/$D70</f>
        <v>1</v>
      </c>
      <c r="Y70" s="112">
        <f>CEILING('Revenue Buildup'!Y$11,$D70)/$D70</f>
        <v>1</v>
      </c>
      <c r="Z70" s="112">
        <f>CEILING('Revenue Buildup'!Z$11,$D70)/$D70</f>
        <v>1</v>
      </c>
      <c r="AA70" s="112">
        <f>CEILING('Revenue Buildup'!AA$11,$D70)/$D70</f>
        <v>1</v>
      </c>
      <c r="AB70" s="112">
        <f>CEILING('Revenue Buildup'!AB$11,$D70)/$D70</f>
        <v>1</v>
      </c>
      <c r="AC70" s="112">
        <f>CEILING('Revenue Buildup'!AC$11,$D70)/$D70</f>
        <v>1</v>
      </c>
      <c r="AD70" s="112">
        <f>CEILING('Revenue Buildup'!AD$11,$D70)/$D70</f>
        <v>1</v>
      </c>
      <c r="AE70" s="112">
        <f>CEILING('Revenue Buildup'!AE$11,$D70)/$D70</f>
        <v>1</v>
      </c>
      <c r="AF70" s="112">
        <f>CEILING('Revenue Buildup'!AF$11,$D70)/$D70</f>
        <v>1</v>
      </c>
      <c r="AG70" s="112">
        <f>CEILING('Revenue Buildup'!AG$11,$D70)/$D70</f>
        <v>1</v>
      </c>
      <c r="AH70" s="112">
        <f>CEILING('Revenue Buildup'!AH$11,$D70)/$D70</f>
        <v>1</v>
      </c>
      <c r="AI70" s="112">
        <f>CEILING('Revenue Buildup'!AI$11,$D70)/$D70</f>
        <v>1</v>
      </c>
      <c r="AJ70" s="112">
        <f>CEILING('Revenue Buildup'!AJ$11,$D70)/$D70</f>
        <v>1</v>
      </c>
      <c r="AK70" s="112">
        <f>CEILING('Revenue Buildup'!AK$11,$D70)/$D70</f>
        <v>1</v>
      </c>
      <c r="AL70" s="112">
        <f>CEILING('Revenue Buildup'!AL$11,$D70)/$D70</f>
        <v>1</v>
      </c>
      <c r="AM70" s="112">
        <f>CEILING('Revenue Buildup'!AM$11,$D70)/$D70</f>
        <v>1</v>
      </c>
      <c r="AN70" s="112">
        <f>CEILING('Revenue Buildup'!AN$11,$D70)/$D70</f>
        <v>1</v>
      </c>
      <c r="AO70" s="112">
        <f>CEILING('Revenue Buildup'!AO$11,$D70)/$D70</f>
        <v>1</v>
      </c>
      <c r="AP70" s="112">
        <f>CEILING('Revenue Buildup'!AP$11,$D70)/$D70</f>
        <v>1</v>
      </c>
      <c r="AQ70" s="112">
        <f>CEILING('Revenue Buildup'!AQ$11,$D70)/$D70</f>
        <v>1</v>
      </c>
      <c r="AR70" s="112">
        <f>CEILING('Revenue Buildup'!AR$11,$D70)/$D70</f>
        <v>1</v>
      </c>
      <c r="AS70" s="112">
        <f>CEILING('Revenue Buildup'!AS$11,$D70)/$D70</f>
        <v>1</v>
      </c>
      <c r="AT70" s="112">
        <f>CEILING('Revenue Buildup'!AT$11,$D70)/$D70</f>
        <v>1</v>
      </c>
      <c r="AU70" s="112">
        <f>CEILING('Revenue Buildup'!AU$11,$D70)/$D70</f>
        <v>1</v>
      </c>
      <c r="AV70" s="112">
        <f>CEILING('Revenue Buildup'!AV$11,$D70)/$D70</f>
        <v>1</v>
      </c>
      <c r="AW70" s="112">
        <f>CEILING('Revenue Buildup'!AW$11,$D70)/$D70</f>
        <v>1</v>
      </c>
      <c r="AX70" s="112">
        <f>CEILING('Revenue Buildup'!AX$11,$D70)/$D70</f>
        <v>1</v>
      </c>
      <c r="AY70" s="112">
        <f>CEILING('Revenue Buildup'!AY$11,$D70)/$D70</f>
        <v>1</v>
      </c>
      <c r="AZ70" s="112">
        <f>CEILING('Revenue Buildup'!AZ$11,$D70)/$D70</f>
        <v>1</v>
      </c>
      <c r="BA70" s="112">
        <f>CEILING('Revenue Buildup'!BA$11,$D70)/$D70</f>
        <v>1</v>
      </c>
      <c r="BB70" s="112">
        <f>CEILING('Revenue Buildup'!BB$11,$D70)/$D70</f>
        <v>1</v>
      </c>
      <c r="BC70" s="112">
        <f>CEILING('Revenue Buildup'!BC$11,$D70)/$D70</f>
        <v>1</v>
      </c>
      <c r="BD70" s="112">
        <f>CEILING('Revenue Buildup'!BD$11,$D70)/$D70</f>
        <v>1</v>
      </c>
      <c r="BE70" s="112">
        <f>CEILING('Revenue Buildup'!BE$11,$D70)/$D70</f>
        <v>1</v>
      </c>
      <c r="BF70" s="112">
        <f>CEILING('Revenue Buildup'!BF$11,$D70)/$D70</f>
        <v>1</v>
      </c>
      <c r="BG70" s="112">
        <f>CEILING('Revenue Buildup'!BG$11,$D70)/$D70</f>
        <v>1</v>
      </c>
      <c r="BH70" s="112">
        <f>CEILING('Revenue Buildup'!BH$11,$D70)/$D70</f>
        <v>1</v>
      </c>
      <c r="BI70" s="112">
        <f>CEILING('Revenue Buildup'!BI$11,$D70)/$D70</f>
        <v>1</v>
      </c>
      <c r="BJ70" s="112">
        <f>CEILING('Revenue Buildup'!BJ$11,$D70)/$D70</f>
        <v>1</v>
      </c>
      <c r="BK70" s="112">
        <f>CEILING('Revenue Buildup'!BK$11,$D70)/$D70</f>
        <v>1</v>
      </c>
      <c r="BL70" s="112">
        <f>CEILING('Revenue Buildup'!BL$11,$D70)/$D70</f>
        <v>1</v>
      </c>
      <c r="BM70" s="112">
        <f>CEILING('Revenue Buildup'!BM$11,$D70)/$D70</f>
        <v>1</v>
      </c>
      <c r="BN70" s="112">
        <f>CEILING('Revenue Buildup'!BN$11,$D70)/$D70</f>
        <v>1</v>
      </c>
      <c r="BO70" s="112">
        <f>CEILING('Revenue Buildup'!BO$11,$D70)/$D70</f>
        <v>1</v>
      </c>
      <c r="BP70" s="112">
        <f>CEILING('Revenue Buildup'!BP$11,$D70)/$D70</f>
        <v>1</v>
      </c>
      <c r="BQ70" s="112">
        <f>CEILING('Revenue Buildup'!BQ$11,$D70)/$D70</f>
        <v>1</v>
      </c>
      <c r="BR70" s="112">
        <f>CEILING('Revenue Buildup'!BR$11,$D70)/$D70</f>
        <v>2</v>
      </c>
      <c r="BS70" s="112">
        <f>CEILING('Revenue Buildup'!BS$11,$D70)/$D70</f>
        <v>2</v>
      </c>
      <c r="BT70" s="112">
        <f>CEILING('Revenue Buildup'!BT$11,$D70)/$D70</f>
        <v>2</v>
      </c>
      <c r="BU70" s="40" t="s">
        <v>89</v>
      </c>
    </row>
    <row r="71" spans="1:73" ht="15.6">
      <c r="A71" t="s">
        <v>102</v>
      </c>
      <c r="B71" s="59" t="s">
        <v>45</v>
      </c>
      <c r="C71" s="110">
        <v>2</v>
      </c>
      <c r="D71" s="64">
        <v>18</v>
      </c>
      <c r="E71" s="111"/>
      <c r="F71" s="60" t="s">
        <v>48</v>
      </c>
      <c r="G71" s="61">
        <v>1000</v>
      </c>
      <c r="H71" s="68">
        <v>0.1</v>
      </c>
      <c r="I71" s="59" t="s">
        <v>49</v>
      </c>
      <c r="L71" s="109"/>
      <c r="M71" s="112">
        <f>CEILING('Revenue Buildup'!M$11,$D71)/$D71</f>
        <v>1</v>
      </c>
      <c r="N71" s="112">
        <f>CEILING('Revenue Buildup'!N$11,$D71)/$D71</f>
        <v>1</v>
      </c>
      <c r="O71" s="112">
        <f>CEILING('Revenue Buildup'!O$11,$D71)/$D71</f>
        <v>1</v>
      </c>
      <c r="P71" s="112">
        <f>CEILING('Revenue Buildup'!P$11,$D71)/$D71</f>
        <v>1</v>
      </c>
      <c r="Q71" s="112">
        <f>CEILING('Revenue Buildup'!Q$11,$D71)/$D71</f>
        <v>1</v>
      </c>
      <c r="R71" s="112">
        <f>CEILING('Revenue Buildup'!R$11,$D71)/$D71</f>
        <v>1</v>
      </c>
      <c r="S71" s="112">
        <f>CEILING('Revenue Buildup'!S$11,$D71)/$D71</f>
        <v>1</v>
      </c>
      <c r="T71" s="112">
        <f>CEILING('Revenue Buildup'!T$11,$D71)/$D71</f>
        <v>1</v>
      </c>
      <c r="U71" s="112">
        <f>CEILING('Revenue Buildup'!U$11,$D71)/$D71</f>
        <v>1</v>
      </c>
      <c r="V71" s="112">
        <f>CEILING('Revenue Buildup'!V$11,$D71)/$D71</f>
        <v>1</v>
      </c>
      <c r="W71" s="112">
        <f>CEILING('Revenue Buildup'!W$11,$D71)/$D71</f>
        <v>1</v>
      </c>
      <c r="X71" s="112">
        <f>CEILING('Revenue Buildup'!X$11,$D71)/$D71</f>
        <v>1</v>
      </c>
      <c r="Y71" s="112">
        <f>CEILING('Revenue Buildup'!Y$11,$D71)/$D71</f>
        <v>1</v>
      </c>
      <c r="Z71" s="112">
        <f>CEILING('Revenue Buildup'!Z$11,$D71)/$D71</f>
        <v>1</v>
      </c>
      <c r="AA71" s="112">
        <f>CEILING('Revenue Buildup'!AA$11,$D71)/$D71</f>
        <v>1</v>
      </c>
      <c r="AB71" s="112">
        <f>CEILING('Revenue Buildup'!AB$11,$D71)/$D71</f>
        <v>1</v>
      </c>
      <c r="AC71" s="112">
        <f>CEILING('Revenue Buildup'!AC$11,$D71)/$D71</f>
        <v>1</v>
      </c>
      <c r="AD71" s="112">
        <f>CEILING('Revenue Buildup'!AD$11,$D71)/$D71</f>
        <v>1</v>
      </c>
      <c r="AE71" s="112">
        <f>CEILING('Revenue Buildup'!AE$11,$D71)/$D71</f>
        <v>1</v>
      </c>
      <c r="AF71" s="112">
        <f>CEILING('Revenue Buildup'!AF$11,$D71)/$D71</f>
        <v>1</v>
      </c>
      <c r="AG71" s="112">
        <f>CEILING('Revenue Buildup'!AG$11,$D71)/$D71</f>
        <v>1</v>
      </c>
      <c r="AH71" s="112">
        <f>CEILING('Revenue Buildup'!AH$11,$D71)/$D71</f>
        <v>1</v>
      </c>
      <c r="AI71" s="112">
        <f>CEILING('Revenue Buildup'!AI$11,$D71)/$D71</f>
        <v>1</v>
      </c>
      <c r="AJ71" s="112">
        <f>CEILING('Revenue Buildup'!AJ$11,$D71)/$D71</f>
        <v>1</v>
      </c>
      <c r="AK71" s="112">
        <f>CEILING('Revenue Buildup'!AK$11,$D71)/$D71</f>
        <v>1</v>
      </c>
      <c r="AL71" s="112">
        <f>CEILING('Revenue Buildup'!AL$11,$D71)/$D71</f>
        <v>1</v>
      </c>
      <c r="AM71" s="112">
        <f>CEILING('Revenue Buildup'!AM$11,$D71)/$D71</f>
        <v>1</v>
      </c>
      <c r="AN71" s="112">
        <f>CEILING('Revenue Buildup'!AN$11,$D71)/$D71</f>
        <v>1</v>
      </c>
      <c r="AO71" s="112">
        <f>CEILING('Revenue Buildup'!AO$11,$D71)/$D71</f>
        <v>1</v>
      </c>
      <c r="AP71" s="112">
        <f>CEILING('Revenue Buildup'!AP$11,$D71)/$D71</f>
        <v>1</v>
      </c>
      <c r="AQ71" s="112">
        <f>CEILING('Revenue Buildup'!AQ$11,$D71)/$D71</f>
        <v>1</v>
      </c>
      <c r="AR71" s="112">
        <f>CEILING('Revenue Buildup'!AR$11,$D71)/$D71</f>
        <v>1</v>
      </c>
      <c r="AS71" s="112">
        <f>CEILING('Revenue Buildup'!AS$11,$D71)/$D71</f>
        <v>1</v>
      </c>
      <c r="AT71" s="112">
        <f>CEILING('Revenue Buildup'!AT$11,$D71)/$D71</f>
        <v>1</v>
      </c>
      <c r="AU71" s="112">
        <f>CEILING('Revenue Buildup'!AU$11,$D71)/$D71</f>
        <v>1</v>
      </c>
      <c r="AV71" s="112">
        <f>CEILING('Revenue Buildup'!AV$11,$D71)/$D71</f>
        <v>1</v>
      </c>
      <c r="AW71" s="112">
        <f>CEILING('Revenue Buildup'!AW$11,$D71)/$D71</f>
        <v>1</v>
      </c>
      <c r="AX71" s="112">
        <f>CEILING('Revenue Buildup'!AX$11,$D71)/$D71</f>
        <v>1</v>
      </c>
      <c r="AY71" s="112">
        <f>CEILING('Revenue Buildup'!AY$11,$D71)/$D71</f>
        <v>1</v>
      </c>
      <c r="AZ71" s="112">
        <f>CEILING('Revenue Buildup'!AZ$11,$D71)/$D71</f>
        <v>1</v>
      </c>
      <c r="BA71" s="112">
        <f>CEILING('Revenue Buildup'!BA$11,$D71)/$D71</f>
        <v>1</v>
      </c>
      <c r="BB71" s="112">
        <f>CEILING('Revenue Buildup'!BB$11,$D71)/$D71</f>
        <v>1</v>
      </c>
      <c r="BC71" s="112">
        <f>CEILING('Revenue Buildup'!BC$11,$D71)/$D71</f>
        <v>1</v>
      </c>
      <c r="BD71" s="112">
        <f>CEILING('Revenue Buildup'!BD$11,$D71)/$D71</f>
        <v>1</v>
      </c>
      <c r="BE71" s="112">
        <f>CEILING('Revenue Buildup'!BE$11,$D71)/$D71</f>
        <v>1</v>
      </c>
      <c r="BF71" s="112">
        <f>CEILING('Revenue Buildup'!BF$11,$D71)/$D71</f>
        <v>1</v>
      </c>
      <c r="BG71" s="112">
        <f>CEILING('Revenue Buildup'!BG$11,$D71)/$D71</f>
        <v>1</v>
      </c>
      <c r="BH71" s="112">
        <f>CEILING('Revenue Buildup'!BH$11,$D71)/$D71</f>
        <v>1</v>
      </c>
      <c r="BI71" s="112">
        <f>CEILING('Revenue Buildup'!BI$11,$D71)/$D71</f>
        <v>1</v>
      </c>
      <c r="BJ71" s="112">
        <f>CEILING('Revenue Buildup'!BJ$11,$D71)/$D71</f>
        <v>1</v>
      </c>
      <c r="BK71" s="112">
        <f>CEILING('Revenue Buildup'!BK$11,$D71)/$D71</f>
        <v>1</v>
      </c>
      <c r="BL71" s="112">
        <f>CEILING('Revenue Buildup'!BL$11,$D71)/$D71</f>
        <v>1</v>
      </c>
      <c r="BM71" s="112">
        <f>CEILING('Revenue Buildup'!BM$11,$D71)/$D71</f>
        <v>1</v>
      </c>
      <c r="BN71" s="112">
        <f>CEILING('Revenue Buildup'!BN$11,$D71)/$D71</f>
        <v>1</v>
      </c>
      <c r="BO71" s="112">
        <f>CEILING('Revenue Buildup'!BO$11,$D71)/$D71</f>
        <v>1</v>
      </c>
      <c r="BP71" s="112">
        <f>CEILING('Revenue Buildup'!BP$11,$D71)/$D71</f>
        <v>1</v>
      </c>
      <c r="BQ71" s="112">
        <f>CEILING('Revenue Buildup'!BQ$11,$D71)/$D71</f>
        <v>1</v>
      </c>
      <c r="BR71" s="112">
        <f>CEILING('Revenue Buildup'!BR$11,$D71)/$D71</f>
        <v>2</v>
      </c>
      <c r="BS71" s="112">
        <f>CEILING('Revenue Buildup'!BS$11,$D71)/$D71</f>
        <v>2</v>
      </c>
      <c r="BT71" s="112">
        <f>CEILING('Revenue Buildup'!BT$11,$D71)/$D71</f>
        <v>2</v>
      </c>
    </row>
    <row r="72" spans="1:73" ht="15.6">
      <c r="A72" t="s">
        <v>103</v>
      </c>
      <c r="B72" s="59" t="s">
        <v>45</v>
      </c>
      <c r="C72" s="110">
        <v>2</v>
      </c>
      <c r="D72" s="64">
        <v>18</v>
      </c>
      <c r="E72" s="111"/>
      <c r="F72" s="60" t="s">
        <v>48</v>
      </c>
      <c r="G72" s="61">
        <v>1000</v>
      </c>
      <c r="H72" s="68">
        <v>0.1</v>
      </c>
      <c r="I72" s="59" t="s">
        <v>49</v>
      </c>
      <c r="L72" s="109"/>
      <c r="M72" s="112">
        <f>CEILING('Revenue Buildup'!M$11,$D72)/$D72</f>
        <v>1</v>
      </c>
      <c r="N72" s="112">
        <f>CEILING('Revenue Buildup'!N$11,$D72)/$D72</f>
        <v>1</v>
      </c>
      <c r="O72" s="112">
        <f>CEILING('Revenue Buildup'!O$11,$D72)/$D72</f>
        <v>1</v>
      </c>
      <c r="P72" s="112">
        <f>CEILING('Revenue Buildup'!P$11,$D72)/$D72</f>
        <v>1</v>
      </c>
      <c r="Q72" s="112">
        <f>CEILING('Revenue Buildup'!Q$11,$D72)/$D72</f>
        <v>1</v>
      </c>
      <c r="R72" s="112">
        <f>CEILING('Revenue Buildup'!R$11,$D72)/$D72</f>
        <v>1</v>
      </c>
      <c r="S72" s="112">
        <f>CEILING('Revenue Buildup'!S$11,$D72)/$D72</f>
        <v>1</v>
      </c>
      <c r="T72" s="112">
        <f>CEILING('Revenue Buildup'!T$11,$D72)/$D72</f>
        <v>1</v>
      </c>
      <c r="U72" s="112">
        <f>CEILING('Revenue Buildup'!U$11,$D72)/$D72</f>
        <v>1</v>
      </c>
      <c r="V72" s="112">
        <f>CEILING('Revenue Buildup'!V$11,$D72)/$D72</f>
        <v>1</v>
      </c>
      <c r="W72" s="112">
        <f>CEILING('Revenue Buildup'!W$11,$D72)/$D72</f>
        <v>1</v>
      </c>
      <c r="X72" s="112">
        <f>CEILING('Revenue Buildup'!X$11,$D72)/$D72</f>
        <v>1</v>
      </c>
      <c r="Y72" s="112">
        <f>CEILING('Revenue Buildup'!Y$11,$D72)/$D72</f>
        <v>1</v>
      </c>
      <c r="Z72" s="112">
        <f>CEILING('Revenue Buildup'!Z$11,$D72)/$D72</f>
        <v>1</v>
      </c>
      <c r="AA72" s="112">
        <f>CEILING('Revenue Buildup'!AA$11,$D72)/$D72</f>
        <v>1</v>
      </c>
      <c r="AB72" s="112">
        <f>CEILING('Revenue Buildup'!AB$11,$D72)/$D72</f>
        <v>1</v>
      </c>
      <c r="AC72" s="112">
        <f>CEILING('Revenue Buildup'!AC$11,$D72)/$D72</f>
        <v>1</v>
      </c>
      <c r="AD72" s="112">
        <f>CEILING('Revenue Buildup'!AD$11,$D72)/$D72</f>
        <v>1</v>
      </c>
      <c r="AE72" s="112">
        <f>CEILING('Revenue Buildup'!AE$11,$D72)/$D72</f>
        <v>1</v>
      </c>
      <c r="AF72" s="112">
        <f>CEILING('Revenue Buildup'!AF$11,$D72)/$D72</f>
        <v>1</v>
      </c>
      <c r="AG72" s="112">
        <f>CEILING('Revenue Buildup'!AG$11,$D72)/$D72</f>
        <v>1</v>
      </c>
      <c r="AH72" s="112">
        <f>CEILING('Revenue Buildup'!AH$11,$D72)/$D72</f>
        <v>1</v>
      </c>
      <c r="AI72" s="112">
        <f>CEILING('Revenue Buildup'!AI$11,$D72)/$D72</f>
        <v>1</v>
      </c>
      <c r="AJ72" s="112">
        <f>CEILING('Revenue Buildup'!AJ$11,$D72)/$D72</f>
        <v>1</v>
      </c>
      <c r="AK72" s="112">
        <f>CEILING('Revenue Buildup'!AK$11,$D72)/$D72</f>
        <v>1</v>
      </c>
      <c r="AL72" s="112">
        <f>CEILING('Revenue Buildup'!AL$11,$D72)/$D72</f>
        <v>1</v>
      </c>
      <c r="AM72" s="112">
        <f>CEILING('Revenue Buildup'!AM$11,$D72)/$D72</f>
        <v>1</v>
      </c>
      <c r="AN72" s="112">
        <f>CEILING('Revenue Buildup'!AN$11,$D72)/$D72</f>
        <v>1</v>
      </c>
      <c r="AO72" s="112">
        <f>CEILING('Revenue Buildup'!AO$11,$D72)/$D72</f>
        <v>1</v>
      </c>
      <c r="AP72" s="112">
        <f>CEILING('Revenue Buildup'!AP$11,$D72)/$D72</f>
        <v>1</v>
      </c>
      <c r="AQ72" s="112">
        <f>CEILING('Revenue Buildup'!AQ$11,$D72)/$D72</f>
        <v>1</v>
      </c>
      <c r="AR72" s="112">
        <f>CEILING('Revenue Buildup'!AR$11,$D72)/$D72</f>
        <v>1</v>
      </c>
      <c r="AS72" s="112">
        <f>CEILING('Revenue Buildup'!AS$11,$D72)/$D72</f>
        <v>1</v>
      </c>
      <c r="AT72" s="112">
        <f>CEILING('Revenue Buildup'!AT$11,$D72)/$D72</f>
        <v>1</v>
      </c>
      <c r="AU72" s="112">
        <f>CEILING('Revenue Buildup'!AU$11,$D72)/$D72</f>
        <v>1</v>
      </c>
      <c r="AV72" s="112">
        <f>CEILING('Revenue Buildup'!AV$11,$D72)/$D72</f>
        <v>1</v>
      </c>
      <c r="AW72" s="112">
        <f>CEILING('Revenue Buildup'!AW$11,$D72)/$D72</f>
        <v>1</v>
      </c>
      <c r="AX72" s="112">
        <f>CEILING('Revenue Buildup'!AX$11,$D72)/$D72</f>
        <v>1</v>
      </c>
      <c r="AY72" s="112">
        <f>CEILING('Revenue Buildup'!AY$11,$D72)/$D72</f>
        <v>1</v>
      </c>
      <c r="AZ72" s="112">
        <f>CEILING('Revenue Buildup'!AZ$11,$D72)/$D72</f>
        <v>1</v>
      </c>
      <c r="BA72" s="112">
        <f>CEILING('Revenue Buildup'!BA$11,$D72)/$D72</f>
        <v>1</v>
      </c>
      <c r="BB72" s="112">
        <f>CEILING('Revenue Buildup'!BB$11,$D72)/$D72</f>
        <v>1</v>
      </c>
      <c r="BC72" s="112">
        <f>CEILING('Revenue Buildup'!BC$11,$D72)/$D72</f>
        <v>1</v>
      </c>
      <c r="BD72" s="112">
        <f>CEILING('Revenue Buildup'!BD$11,$D72)/$D72</f>
        <v>1</v>
      </c>
      <c r="BE72" s="112">
        <f>CEILING('Revenue Buildup'!BE$11,$D72)/$D72</f>
        <v>1</v>
      </c>
      <c r="BF72" s="112">
        <f>CEILING('Revenue Buildup'!BF$11,$D72)/$D72</f>
        <v>1</v>
      </c>
      <c r="BG72" s="112">
        <f>CEILING('Revenue Buildup'!BG$11,$D72)/$D72</f>
        <v>1</v>
      </c>
      <c r="BH72" s="112">
        <f>CEILING('Revenue Buildup'!BH$11,$D72)/$D72</f>
        <v>1</v>
      </c>
      <c r="BI72" s="112">
        <f>CEILING('Revenue Buildup'!BI$11,$D72)/$D72</f>
        <v>1</v>
      </c>
      <c r="BJ72" s="112">
        <f>CEILING('Revenue Buildup'!BJ$11,$D72)/$D72</f>
        <v>1</v>
      </c>
      <c r="BK72" s="112">
        <f>CEILING('Revenue Buildup'!BK$11,$D72)/$D72</f>
        <v>1</v>
      </c>
      <c r="BL72" s="112">
        <f>CEILING('Revenue Buildup'!BL$11,$D72)/$D72</f>
        <v>1</v>
      </c>
      <c r="BM72" s="112">
        <f>CEILING('Revenue Buildup'!BM$11,$D72)/$D72</f>
        <v>1</v>
      </c>
      <c r="BN72" s="112">
        <f>CEILING('Revenue Buildup'!BN$11,$D72)/$D72</f>
        <v>1</v>
      </c>
      <c r="BO72" s="112">
        <f>CEILING('Revenue Buildup'!BO$11,$D72)/$D72</f>
        <v>1</v>
      </c>
      <c r="BP72" s="112">
        <f>CEILING('Revenue Buildup'!BP$11,$D72)/$D72</f>
        <v>1</v>
      </c>
      <c r="BQ72" s="112">
        <f>CEILING('Revenue Buildup'!BQ$11,$D72)/$D72</f>
        <v>1</v>
      </c>
      <c r="BR72" s="112">
        <f>CEILING('Revenue Buildup'!BR$11,$D72)/$D72</f>
        <v>2</v>
      </c>
      <c r="BS72" s="112">
        <f>CEILING('Revenue Buildup'!BS$11,$D72)/$D72</f>
        <v>2</v>
      </c>
      <c r="BT72" s="112">
        <f>CEILING('Revenue Buildup'!BT$11,$D72)/$D72</f>
        <v>2</v>
      </c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9"/>
  <sheetViews>
    <sheetView showGridLines="0" zoomScaleNormal="100" workbookViewId="0">
      <pane xSplit="12" ySplit="4" topLeftCell="BQ7" activePane="bottomRight" state="frozen"/>
      <selection pane="topRight" activeCell="BQ1" sqref="BQ1"/>
      <selection pane="bottomLeft" activeCell="A7" sqref="A7"/>
      <selection pane="bottomRight" activeCell="G2" sqref="G2"/>
    </sheetView>
  </sheetViews>
  <sheetFormatPr defaultColWidth="11" defaultRowHeight="15"/>
  <cols>
    <col min="2" max="2" width="4.1796875" customWidth="1"/>
    <col min="3" max="12" width="2" customWidth="1"/>
    <col min="13" max="14" width="13.1796875" customWidth="1"/>
    <col min="15" max="24" width="14.1796875" customWidth="1"/>
    <col min="25" max="25" width="15.81640625" customWidth="1"/>
    <col min="26" max="26" width="14.1796875" customWidth="1"/>
    <col min="27" max="54" width="15.7265625" customWidth="1"/>
    <col min="55" max="72" width="16.81640625" customWidth="1"/>
    <col min="73" max="73" width="4.26953125" customWidth="1"/>
    <col min="74" max="74" width="15.7265625" customWidth="1"/>
    <col min="75" max="76" width="16.81640625" customWidth="1"/>
    <col min="77" max="78" width="18.7265625" customWidth="1"/>
  </cols>
  <sheetData>
    <row r="1" spans="1:78" ht="21" customHeight="1">
      <c r="A1" s="23" t="s">
        <v>104</v>
      </c>
      <c r="B1" s="24"/>
      <c r="C1" s="25"/>
      <c r="D1" s="26"/>
      <c r="E1" s="26"/>
      <c r="F1" s="26"/>
      <c r="G1" s="26"/>
      <c r="H1" s="26"/>
      <c r="I1" s="26"/>
      <c r="J1" s="27"/>
      <c r="K1" s="26"/>
      <c r="L1" s="26"/>
      <c r="M1" s="28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1:78" ht="15.75" customHeight="1">
      <c r="A2" s="30" t="s">
        <v>19</v>
      </c>
      <c r="B2" s="30"/>
      <c r="C2" s="25"/>
      <c r="D2" s="26"/>
      <c r="E2" s="26"/>
      <c r="F2" s="26"/>
      <c r="G2" s="26"/>
      <c r="H2" s="26"/>
      <c r="I2" s="26"/>
      <c r="J2" s="27"/>
      <c r="K2" s="26"/>
      <c r="L2" s="26"/>
      <c r="M2" s="3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26"/>
      <c r="BV2" s="3" t="s">
        <v>21</v>
      </c>
      <c r="BW2" s="3"/>
      <c r="BX2" s="3"/>
      <c r="BY2" s="3"/>
      <c r="BZ2" s="3"/>
    </row>
    <row r="3" spans="1:78" ht="15.6">
      <c r="A3" s="31" t="s">
        <v>22</v>
      </c>
      <c r="B3" s="32"/>
      <c r="C3" s="32"/>
      <c r="D3" s="33"/>
      <c r="E3" s="33"/>
      <c r="F3" s="33"/>
      <c r="G3" s="33"/>
      <c r="H3" s="33"/>
      <c r="I3" s="33"/>
      <c r="J3" s="26"/>
      <c r="K3" s="26"/>
      <c r="L3" s="26"/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f>X3+1</f>
        <v>2</v>
      </c>
      <c r="Z3" s="34">
        <f t="shared" ref="Z3:AJ3" si="0">Y3</f>
        <v>2</v>
      </c>
      <c r="AA3" s="34">
        <f t="shared" si="0"/>
        <v>2</v>
      </c>
      <c r="AB3" s="34">
        <f t="shared" si="0"/>
        <v>2</v>
      </c>
      <c r="AC3" s="34">
        <f t="shared" si="0"/>
        <v>2</v>
      </c>
      <c r="AD3" s="34">
        <f t="shared" si="0"/>
        <v>2</v>
      </c>
      <c r="AE3" s="34">
        <f t="shared" si="0"/>
        <v>2</v>
      </c>
      <c r="AF3" s="34">
        <f t="shared" si="0"/>
        <v>2</v>
      </c>
      <c r="AG3" s="34">
        <f t="shared" si="0"/>
        <v>2</v>
      </c>
      <c r="AH3" s="34">
        <f t="shared" si="0"/>
        <v>2</v>
      </c>
      <c r="AI3" s="34">
        <f t="shared" si="0"/>
        <v>2</v>
      </c>
      <c r="AJ3" s="34">
        <f t="shared" si="0"/>
        <v>2</v>
      </c>
      <c r="AK3" s="34">
        <v>3</v>
      </c>
      <c r="AL3" s="34">
        <v>3</v>
      </c>
      <c r="AM3" s="34">
        <v>3</v>
      </c>
      <c r="AN3" s="34">
        <v>3</v>
      </c>
      <c r="AO3" s="34">
        <v>3</v>
      </c>
      <c r="AP3" s="34">
        <v>3</v>
      </c>
      <c r="AQ3" s="34">
        <v>3</v>
      </c>
      <c r="AR3" s="34">
        <v>3</v>
      </c>
      <c r="AS3" s="34">
        <v>3</v>
      </c>
      <c r="AT3" s="34">
        <v>3</v>
      </c>
      <c r="AU3" s="34">
        <v>3</v>
      </c>
      <c r="AV3" s="34">
        <v>3</v>
      </c>
      <c r="AW3" s="34">
        <v>4</v>
      </c>
      <c r="AX3" s="34">
        <v>4</v>
      </c>
      <c r="AY3" s="34">
        <v>4</v>
      </c>
      <c r="AZ3" s="34">
        <v>4</v>
      </c>
      <c r="BA3" s="34">
        <v>4</v>
      </c>
      <c r="BB3" s="34">
        <v>4</v>
      </c>
      <c r="BC3" s="34">
        <v>4</v>
      </c>
      <c r="BD3" s="34">
        <v>4</v>
      </c>
      <c r="BE3" s="34">
        <v>4</v>
      </c>
      <c r="BF3" s="34">
        <v>4</v>
      </c>
      <c r="BG3" s="34">
        <v>4</v>
      </c>
      <c r="BH3" s="34">
        <v>4</v>
      </c>
      <c r="BI3" s="34">
        <v>5</v>
      </c>
      <c r="BJ3" s="34">
        <v>5</v>
      </c>
      <c r="BK3" s="34">
        <v>5</v>
      </c>
      <c r="BL3" s="34">
        <v>5</v>
      </c>
      <c r="BM3" s="34">
        <v>5</v>
      </c>
      <c r="BN3" s="34">
        <v>5</v>
      </c>
      <c r="BO3" s="34">
        <v>5</v>
      </c>
      <c r="BP3" s="34">
        <v>5</v>
      </c>
      <c r="BQ3" s="34">
        <v>5</v>
      </c>
      <c r="BR3" s="34">
        <v>5</v>
      </c>
      <c r="BS3" s="34">
        <v>5</v>
      </c>
      <c r="BT3" s="34">
        <v>5</v>
      </c>
      <c r="BU3" s="35"/>
      <c r="BV3" s="36">
        <v>1</v>
      </c>
      <c r="BW3" s="36">
        <v>2</v>
      </c>
      <c r="BX3" s="36">
        <v>3</v>
      </c>
      <c r="BY3" s="36">
        <v>4</v>
      </c>
      <c r="BZ3" s="36">
        <v>5</v>
      </c>
    </row>
    <row r="4" spans="1:78" ht="15.6">
      <c r="A4" s="37" t="s">
        <v>23</v>
      </c>
      <c r="B4" s="113"/>
      <c r="C4" s="32"/>
      <c r="D4" s="33"/>
      <c r="E4" s="26"/>
      <c r="F4" s="26"/>
      <c r="G4" s="26"/>
      <c r="H4" s="26"/>
      <c r="I4" s="26"/>
      <c r="J4" s="26"/>
      <c r="K4" s="26"/>
      <c r="L4" s="26"/>
      <c r="M4" s="39">
        <v>1</v>
      </c>
      <c r="N4" s="39">
        <f t="shared" ref="N4:X4" si="1">M4+1</f>
        <v>2</v>
      </c>
      <c r="O4" s="39">
        <f t="shared" si="1"/>
        <v>3</v>
      </c>
      <c r="P4" s="39">
        <f t="shared" si="1"/>
        <v>4</v>
      </c>
      <c r="Q4" s="39">
        <f t="shared" si="1"/>
        <v>5</v>
      </c>
      <c r="R4" s="39">
        <f t="shared" si="1"/>
        <v>6</v>
      </c>
      <c r="S4" s="39">
        <f t="shared" si="1"/>
        <v>7</v>
      </c>
      <c r="T4" s="39">
        <f t="shared" si="1"/>
        <v>8</v>
      </c>
      <c r="U4" s="39">
        <f t="shared" si="1"/>
        <v>9</v>
      </c>
      <c r="V4" s="39">
        <f t="shared" si="1"/>
        <v>10</v>
      </c>
      <c r="W4" s="39">
        <f t="shared" si="1"/>
        <v>11</v>
      </c>
      <c r="X4" s="39">
        <f t="shared" si="1"/>
        <v>12</v>
      </c>
      <c r="Y4" s="39">
        <f>X4+1</f>
        <v>13</v>
      </c>
      <c r="Z4" s="39">
        <f t="shared" ref="Z4:BT4" si="2">Y4+1</f>
        <v>14</v>
      </c>
      <c r="AA4" s="39">
        <f t="shared" si="2"/>
        <v>15</v>
      </c>
      <c r="AB4" s="39">
        <f t="shared" si="2"/>
        <v>16</v>
      </c>
      <c r="AC4" s="39">
        <f t="shared" si="2"/>
        <v>17</v>
      </c>
      <c r="AD4" s="39">
        <f t="shared" si="2"/>
        <v>18</v>
      </c>
      <c r="AE4" s="39">
        <f t="shared" si="2"/>
        <v>19</v>
      </c>
      <c r="AF4" s="39">
        <f t="shared" si="2"/>
        <v>20</v>
      </c>
      <c r="AG4" s="39">
        <f t="shared" si="2"/>
        <v>21</v>
      </c>
      <c r="AH4" s="39">
        <f t="shared" si="2"/>
        <v>22</v>
      </c>
      <c r="AI4" s="39">
        <f t="shared" si="2"/>
        <v>23</v>
      </c>
      <c r="AJ4" s="39">
        <f t="shared" si="2"/>
        <v>24</v>
      </c>
      <c r="AK4" s="39">
        <f t="shared" si="2"/>
        <v>25</v>
      </c>
      <c r="AL4" s="39">
        <f t="shared" si="2"/>
        <v>26</v>
      </c>
      <c r="AM4" s="39">
        <f t="shared" si="2"/>
        <v>27</v>
      </c>
      <c r="AN4" s="39">
        <f t="shared" si="2"/>
        <v>28</v>
      </c>
      <c r="AO4" s="39">
        <f t="shared" si="2"/>
        <v>29</v>
      </c>
      <c r="AP4" s="39">
        <f t="shared" si="2"/>
        <v>30</v>
      </c>
      <c r="AQ4" s="39">
        <f t="shared" si="2"/>
        <v>31</v>
      </c>
      <c r="AR4" s="39">
        <f t="shared" si="2"/>
        <v>32</v>
      </c>
      <c r="AS4" s="39">
        <f t="shared" si="2"/>
        <v>33</v>
      </c>
      <c r="AT4" s="39">
        <f t="shared" si="2"/>
        <v>34</v>
      </c>
      <c r="AU4" s="39">
        <f t="shared" si="2"/>
        <v>35</v>
      </c>
      <c r="AV4" s="39">
        <f t="shared" si="2"/>
        <v>36</v>
      </c>
      <c r="AW4" s="39">
        <f t="shared" si="2"/>
        <v>37</v>
      </c>
      <c r="AX4" s="39">
        <f t="shared" si="2"/>
        <v>38</v>
      </c>
      <c r="AY4" s="39">
        <f t="shared" si="2"/>
        <v>39</v>
      </c>
      <c r="AZ4" s="39">
        <f t="shared" si="2"/>
        <v>40</v>
      </c>
      <c r="BA4" s="39">
        <f t="shared" si="2"/>
        <v>41</v>
      </c>
      <c r="BB4" s="39">
        <f t="shared" si="2"/>
        <v>42</v>
      </c>
      <c r="BC4" s="39">
        <f t="shared" si="2"/>
        <v>43</v>
      </c>
      <c r="BD4" s="39">
        <f t="shared" si="2"/>
        <v>44</v>
      </c>
      <c r="BE4" s="39">
        <f t="shared" si="2"/>
        <v>45</v>
      </c>
      <c r="BF4" s="39">
        <f t="shared" si="2"/>
        <v>46</v>
      </c>
      <c r="BG4" s="39">
        <f t="shared" si="2"/>
        <v>47</v>
      </c>
      <c r="BH4" s="39">
        <f t="shared" si="2"/>
        <v>48</v>
      </c>
      <c r="BI4" s="39">
        <f t="shared" si="2"/>
        <v>49</v>
      </c>
      <c r="BJ4" s="39">
        <f t="shared" si="2"/>
        <v>50</v>
      </c>
      <c r="BK4" s="39">
        <f t="shared" si="2"/>
        <v>51</v>
      </c>
      <c r="BL4" s="39">
        <f t="shared" si="2"/>
        <v>52</v>
      </c>
      <c r="BM4" s="39">
        <f t="shared" si="2"/>
        <v>53</v>
      </c>
      <c r="BN4" s="39">
        <f t="shared" si="2"/>
        <v>54</v>
      </c>
      <c r="BO4" s="39">
        <f t="shared" si="2"/>
        <v>55</v>
      </c>
      <c r="BP4" s="39">
        <f t="shared" si="2"/>
        <v>56</v>
      </c>
      <c r="BQ4" s="39">
        <f t="shared" si="2"/>
        <v>57</v>
      </c>
      <c r="BR4" s="39">
        <f t="shared" si="2"/>
        <v>58</v>
      </c>
      <c r="BS4" s="39">
        <f t="shared" si="2"/>
        <v>59</v>
      </c>
      <c r="BT4" s="39">
        <f t="shared" si="2"/>
        <v>60</v>
      </c>
      <c r="BU4" s="40"/>
      <c r="BV4" s="39">
        <v>12</v>
      </c>
      <c r="BW4" s="39">
        <v>24</v>
      </c>
      <c r="BX4" s="39">
        <v>36</v>
      </c>
      <c r="BY4" s="39">
        <v>48</v>
      </c>
      <c r="BZ4" s="39">
        <v>60</v>
      </c>
    </row>
    <row r="5" spans="1:78" ht="15.6">
      <c r="A5" s="114" t="s">
        <v>105</v>
      </c>
      <c r="B5" s="115"/>
      <c r="C5" s="116"/>
      <c r="D5" s="117"/>
      <c r="E5" s="118"/>
      <c r="F5" s="118"/>
      <c r="G5" s="118"/>
      <c r="H5" s="118"/>
      <c r="I5" s="118"/>
      <c r="J5" s="118"/>
      <c r="K5" s="118"/>
      <c r="L5" s="118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35"/>
      <c r="BV5" s="119"/>
      <c r="BW5" s="119"/>
      <c r="BX5" s="119"/>
      <c r="BY5" s="119"/>
      <c r="BZ5" s="119"/>
    </row>
    <row r="6" spans="1:78" ht="15.6">
      <c r="A6" s="50" t="s">
        <v>106</v>
      </c>
      <c r="B6" s="120"/>
      <c r="C6" s="121"/>
      <c r="D6" s="122"/>
      <c r="E6" s="12"/>
      <c r="F6" s="12"/>
      <c r="G6" s="12"/>
      <c r="H6" s="12"/>
      <c r="I6" s="12"/>
      <c r="J6" s="12"/>
      <c r="K6" s="12"/>
      <c r="L6" s="12"/>
      <c r="M6" s="123">
        <f>ROUND(Assumptions!M28/Assumptions!M29,0)</f>
        <v>6</v>
      </c>
      <c r="N6" s="123">
        <f>ROUND(Assumptions!N28/Assumptions!N29,0)</f>
        <v>6</v>
      </c>
      <c r="O6" s="123">
        <f>ROUND(Assumptions!O28/Assumptions!O29,0)</f>
        <v>6</v>
      </c>
      <c r="P6" s="123">
        <f>ROUND(Assumptions!P28/Assumptions!P29,0)</f>
        <v>6</v>
      </c>
      <c r="Q6" s="123">
        <f>ROUND(Assumptions!Q28/Assumptions!Q29,0)</f>
        <v>6</v>
      </c>
      <c r="R6" s="123">
        <f>ROUND(Assumptions!R28/Assumptions!R29,0)</f>
        <v>6</v>
      </c>
      <c r="S6" s="123">
        <f>ROUND(Assumptions!S28/Assumptions!S29,0)</f>
        <v>6</v>
      </c>
      <c r="T6" s="123">
        <f>ROUND(Assumptions!T28/Assumptions!T29,0)</f>
        <v>6</v>
      </c>
      <c r="U6" s="123">
        <f>ROUND(Assumptions!U28/Assumptions!U29,0)</f>
        <v>6</v>
      </c>
      <c r="V6" s="123">
        <f>ROUND(Assumptions!V28/Assumptions!V29,0)</f>
        <v>6</v>
      </c>
      <c r="W6" s="123">
        <f>ROUND(Assumptions!W28/Assumptions!W29,0)</f>
        <v>6</v>
      </c>
      <c r="X6" s="123">
        <f>ROUND(Assumptions!X28/Assumptions!X29,0)</f>
        <v>6</v>
      </c>
      <c r="Y6" s="123">
        <f>ROUND(Assumptions!Y28/Assumptions!Y29,0)</f>
        <v>6</v>
      </c>
      <c r="Z6" s="123">
        <f>ROUND(Assumptions!Z28/Assumptions!Z29,0)</f>
        <v>6</v>
      </c>
      <c r="AA6" s="123">
        <f>ROUND(Assumptions!AA28/Assumptions!AA29,0)</f>
        <v>6</v>
      </c>
      <c r="AB6" s="123">
        <f>ROUND(Assumptions!AB28/Assumptions!AB29,0)</f>
        <v>6</v>
      </c>
      <c r="AC6" s="123">
        <f>ROUND(Assumptions!AC28/Assumptions!AC29,0)</f>
        <v>6</v>
      </c>
      <c r="AD6" s="123">
        <f>ROUND(Assumptions!AD28/Assumptions!AD29,0)</f>
        <v>6</v>
      </c>
      <c r="AE6" s="123">
        <f>ROUND(Assumptions!AE28/Assumptions!AE29,0)</f>
        <v>6</v>
      </c>
      <c r="AF6" s="123">
        <f>ROUND(Assumptions!AF28/Assumptions!AF29,0)</f>
        <v>6</v>
      </c>
      <c r="AG6" s="123">
        <f>ROUND(Assumptions!AG28/Assumptions!AG29,0)</f>
        <v>6</v>
      </c>
      <c r="AH6" s="123">
        <f>ROUND(Assumptions!AH28/Assumptions!AH29,0)</f>
        <v>6</v>
      </c>
      <c r="AI6" s="123">
        <f>ROUND(Assumptions!AI28/Assumptions!AI29,0)</f>
        <v>6</v>
      </c>
      <c r="AJ6" s="123">
        <f>ROUND(Assumptions!AJ28/Assumptions!AJ29,0)</f>
        <v>6</v>
      </c>
      <c r="AK6" s="123">
        <f>ROUND(Assumptions!AK28/Assumptions!AK29,0)</f>
        <v>6</v>
      </c>
      <c r="AL6" s="123">
        <f>ROUND(Assumptions!AL28/Assumptions!AL29,0)</f>
        <v>6</v>
      </c>
      <c r="AM6" s="123">
        <f>ROUND(Assumptions!AM28/Assumptions!AM29,0)</f>
        <v>6</v>
      </c>
      <c r="AN6" s="123">
        <f>ROUND(Assumptions!AN28/Assumptions!AN29,0)</f>
        <v>6</v>
      </c>
      <c r="AO6" s="123">
        <f>ROUND(Assumptions!AO28/Assumptions!AO29,0)</f>
        <v>6</v>
      </c>
      <c r="AP6" s="123">
        <f>ROUND(Assumptions!AP28/Assumptions!AP29,0)</f>
        <v>6</v>
      </c>
      <c r="AQ6" s="123">
        <f>ROUND(Assumptions!AQ28/Assumptions!AQ29,0)</f>
        <v>6</v>
      </c>
      <c r="AR6" s="123">
        <f>ROUND(Assumptions!AR28/Assumptions!AR29,0)</f>
        <v>6</v>
      </c>
      <c r="AS6" s="123">
        <f>ROUND(Assumptions!AS28/Assumptions!AS29,0)</f>
        <v>6</v>
      </c>
      <c r="AT6" s="123">
        <f>ROUND(Assumptions!AT28/Assumptions!AT29,0)</f>
        <v>6</v>
      </c>
      <c r="AU6" s="123">
        <f>ROUND(Assumptions!AU28/Assumptions!AU29,0)</f>
        <v>6</v>
      </c>
      <c r="AV6" s="123">
        <f>ROUND(Assumptions!AV28/Assumptions!AV29,0)</f>
        <v>6</v>
      </c>
      <c r="AW6" s="123">
        <f>ROUND(Assumptions!AW28/Assumptions!AW29,0)</f>
        <v>6</v>
      </c>
      <c r="AX6" s="123">
        <f>ROUND(Assumptions!AX28/Assumptions!AX29,0)</f>
        <v>6</v>
      </c>
      <c r="AY6" s="123">
        <f>ROUND(Assumptions!AY28/Assumptions!AY29,0)</f>
        <v>6</v>
      </c>
      <c r="AZ6" s="123">
        <f>ROUND(Assumptions!AZ28/Assumptions!AZ29,0)</f>
        <v>6</v>
      </c>
      <c r="BA6" s="123">
        <f>ROUND(Assumptions!BA28/Assumptions!BA29,0)</f>
        <v>6</v>
      </c>
      <c r="BB6" s="123">
        <f>ROUND(Assumptions!BB28/Assumptions!BB29,0)</f>
        <v>6</v>
      </c>
      <c r="BC6" s="123">
        <f>ROUND(Assumptions!BC28/Assumptions!BC29,0)</f>
        <v>6</v>
      </c>
      <c r="BD6" s="123">
        <f>ROUND(Assumptions!BD28/Assumptions!BD29,0)</f>
        <v>6</v>
      </c>
      <c r="BE6" s="123">
        <f>ROUND(Assumptions!BE28/Assumptions!BE29,0)</f>
        <v>6</v>
      </c>
      <c r="BF6" s="123">
        <f>ROUND(Assumptions!BF28/Assumptions!BF29,0)</f>
        <v>6</v>
      </c>
      <c r="BG6" s="123">
        <f>ROUND(Assumptions!BG28/Assumptions!BG29,0)</f>
        <v>6</v>
      </c>
      <c r="BH6" s="123">
        <f>ROUND(Assumptions!BH28/Assumptions!BH29,0)</f>
        <v>6</v>
      </c>
      <c r="BI6" s="123">
        <f>ROUND(Assumptions!BI28/Assumptions!BI29,0)</f>
        <v>6</v>
      </c>
      <c r="BJ6" s="123">
        <f>ROUND(Assumptions!BJ28/Assumptions!BJ29,0)</f>
        <v>6</v>
      </c>
      <c r="BK6" s="123">
        <f>ROUND(Assumptions!BK28/Assumptions!BK29,0)</f>
        <v>6</v>
      </c>
      <c r="BL6" s="123">
        <f>ROUND(Assumptions!BL28/Assumptions!BL29,0)</f>
        <v>6</v>
      </c>
      <c r="BM6" s="123">
        <f>ROUND(Assumptions!BM28/Assumptions!BM29,0)</f>
        <v>6</v>
      </c>
      <c r="BN6" s="123">
        <f>ROUND(Assumptions!BN28/Assumptions!BN29,0)</f>
        <v>6</v>
      </c>
      <c r="BO6" s="123">
        <f>ROUND(Assumptions!BO28/Assumptions!BO29,0)</f>
        <v>6</v>
      </c>
      <c r="BP6" s="123">
        <f>ROUND(Assumptions!BP28/Assumptions!BP29,0)</f>
        <v>6</v>
      </c>
      <c r="BQ6" s="123">
        <f>ROUND(Assumptions!BQ28/Assumptions!BQ29,0)</f>
        <v>6</v>
      </c>
      <c r="BR6" s="123">
        <f>ROUND(Assumptions!BR28/Assumptions!BR29,0)</f>
        <v>6</v>
      </c>
      <c r="BS6" s="123">
        <f>ROUND(Assumptions!BS28/Assumptions!BS29,0)</f>
        <v>6</v>
      </c>
      <c r="BT6" s="123">
        <f>ROUND(Assumptions!BT28/Assumptions!BT29,0)</f>
        <v>6</v>
      </c>
      <c r="BU6" s="35"/>
      <c r="BV6" s="58">
        <f>SUMIF($M$3:$BT$3,BV$3,$M6:$BT6)</f>
        <v>72</v>
      </c>
      <c r="BW6" s="58">
        <f>SUMIF($M$3:$BT$3,BW$3,$M6:$BT6)</f>
        <v>72</v>
      </c>
      <c r="BX6" s="58">
        <f>SUMIF($M$3:$BT$3,BX$3,$M6:$BT6)</f>
        <v>72</v>
      </c>
      <c r="BY6" s="58">
        <f>SUMIF($M$3:$BT$3,BY$3,$M6:$BT6)</f>
        <v>72</v>
      </c>
      <c r="BZ6" s="58">
        <f>SUMIF($M$3:$BT$3,BZ$3,$M6:$BT6)</f>
        <v>72</v>
      </c>
    </row>
    <row r="7" spans="1:78" ht="15.6">
      <c r="A7" s="124" t="s">
        <v>107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</row>
    <row r="8" spans="1:78">
      <c r="A8" s="48" t="s">
        <v>31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25">
        <f>Assumptions!M10</f>
        <v>0</v>
      </c>
      <c r="N8" s="125">
        <f>Assumptions!N10</f>
        <v>0</v>
      </c>
      <c r="O8" s="125">
        <f>Assumptions!O10</f>
        <v>1</v>
      </c>
      <c r="P8" s="125">
        <f>Assumptions!P10</f>
        <v>0</v>
      </c>
      <c r="Q8" s="125">
        <f>Assumptions!Q10</f>
        <v>0</v>
      </c>
      <c r="R8" s="125">
        <f>Assumptions!R10</f>
        <v>1</v>
      </c>
      <c r="S8" s="125">
        <f>Assumptions!S10</f>
        <v>0</v>
      </c>
      <c r="T8" s="125">
        <f>Assumptions!T10</f>
        <v>0</v>
      </c>
      <c r="U8" s="125">
        <f>Assumptions!U10</f>
        <v>1</v>
      </c>
      <c r="V8" s="125">
        <f>Assumptions!V10</f>
        <v>0</v>
      </c>
      <c r="W8" s="125">
        <f>Assumptions!W10</f>
        <v>0</v>
      </c>
      <c r="X8" s="125">
        <f>Assumptions!X10</f>
        <v>1</v>
      </c>
      <c r="Y8" s="125">
        <f>Assumptions!Y10</f>
        <v>0</v>
      </c>
      <c r="Z8" s="125">
        <f>Assumptions!Z10</f>
        <v>0</v>
      </c>
      <c r="AA8" s="125">
        <f>Assumptions!AA10</f>
        <v>1</v>
      </c>
      <c r="AB8" s="125">
        <f>Assumptions!AB10</f>
        <v>0</v>
      </c>
      <c r="AC8" s="125">
        <f>Assumptions!AC10</f>
        <v>0</v>
      </c>
      <c r="AD8" s="125">
        <f>Assumptions!AD10</f>
        <v>1</v>
      </c>
      <c r="AE8" s="125">
        <f>Assumptions!AE10</f>
        <v>0</v>
      </c>
      <c r="AF8" s="125">
        <f>Assumptions!AF10</f>
        <v>0</v>
      </c>
      <c r="AG8" s="125">
        <f>Assumptions!AG10</f>
        <v>1</v>
      </c>
      <c r="AH8" s="125">
        <f>Assumptions!AH10</f>
        <v>0</v>
      </c>
      <c r="AI8" s="125">
        <f>Assumptions!AI10</f>
        <v>0</v>
      </c>
      <c r="AJ8" s="125">
        <f>Assumptions!AJ10</f>
        <v>1</v>
      </c>
      <c r="AK8" s="125">
        <f>Assumptions!AK10</f>
        <v>0</v>
      </c>
      <c r="AL8" s="125">
        <f>Assumptions!AL10</f>
        <v>0</v>
      </c>
      <c r="AM8" s="125">
        <f>Assumptions!AM10</f>
        <v>0</v>
      </c>
      <c r="AN8" s="125">
        <f>Assumptions!AN10</f>
        <v>0</v>
      </c>
      <c r="AO8" s="125">
        <f>Assumptions!AO10</f>
        <v>0</v>
      </c>
      <c r="AP8" s="125">
        <f>Assumptions!AP10</f>
        <v>1</v>
      </c>
      <c r="AQ8" s="125">
        <f>Assumptions!AQ10</f>
        <v>0</v>
      </c>
      <c r="AR8" s="125">
        <f>Assumptions!AR10</f>
        <v>0</v>
      </c>
      <c r="AS8" s="125">
        <f>Assumptions!AS10</f>
        <v>0</v>
      </c>
      <c r="AT8" s="125">
        <f>Assumptions!AT10</f>
        <v>0</v>
      </c>
      <c r="AU8" s="125">
        <f>Assumptions!AU10</f>
        <v>0</v>
      </c>
      <c r="AV8" s="125">
        <f>Assumptions!AV10</f>
        <v>1</v>
      </c>
      <c r="AW8" s="125">
        <f>Assumptions!AW10</f>
        <v>0</v>
      </c>
      <c r="AX8" s="125">
        <f>Assumptions!AX10</f>
        <v>0</v>
      </c>
      <c r="AY8" s="125">
        <f>Assumptions!AY10</f>
        <v>0</v>
      </c>
      <c r="AZ8" s="125">
        <f>Assumptions!AZ10</f>
        <v>1</v>
      </c>
      <c r="BA8" s="125">
        <f>Assumptions!BA10</f>
        <v>0</v>
      </c>
      <c r="BB8" s="125">
        <f>Assumptions!BB10</f>
        <v>0</v>
      </c>
      <c r="BC8" s="125">
        <f>Assumptions!BC10</f>
        <v>0</v>
      </c>
      <c r="BD8" s="125">
        <f>Assumptions!BD10</f>
        <v>1</v>
      </c>
      <c r="BE8" s="125">
        <f>Assumptions!BE10</f>
        <v>0</v>
      </c>
      <c r="BF8" s="125">
        <f>Assumptions!BF10</f>
        <v>0</v>
      </c>
      <c r="BG8" s="125">
        <f>Assumptions!BG10</f>
        <v>0</v>
      </c>
      <c r="BH8" s="125">
        <f>Assumptions!BH10</f>
        <v>1</v>
      </c>
      <c r="BI8" s="125">
        <f>Assumptions!BI10</f>
        <v>0</v>
      </c>
      <c r="BJ8" s="125">
        <f>Assumptions!BJ10</f>
        <v>1</v>
      </c>
      <c r="BK8" s="125">
        <f>Assumptions!BK10</f>
        <v>0</v>
      </c>
      <c r="BL8" s="125">
        <f>Assumptions!BL10</f>
        <v>1</v>
      </c>
      <c r="BM8" s="125">
        <f>Assumptions!BM10</f>
        <v>0</v>
      </c>
      <c r="BN8" s="125">
        <f>Assumptions!BN10</f>
        <v>1</v>
      </c>
      <c r="BO8" s="125">
        <f>Assumptions!BO10</f>
        <v>0</v>
      </c>
      <c r="BP8" s="125">
        <f>Assumptions!BP10</f>
        <v>1</v>
      </c>
      <c r="BQ8" s="125">
        <f>Assumptions!BQ10</f>
        <v>0</v>
      </c>
      <c r="BR8" s="125">
        <f>Assumptions!BR10</f>
        <v>1</v>
      </c>
      <c r="BS8" s="125">
        <f>Assumptions!BS10</f>
        <v>0</v>
      </c>
      <c r="BT8" s="125">
        <f>Assumptions!BT10</f>
        <v>1</v>
      </c>
      <c r="BU8" s="35"/>
      <c r="BV8" s="58">
        <f>SUMIF($M$3:$BT$3,BV$3,$M8:$BT8)</f>
        <v>4</v>
      </c>
      <c r="BW8" s="58">
        <f>SUMIF($M$3:$BT$3,BW$3,$M8:$BT8)</f>
        <v>4</v>
      </c>
      <c r="BX8" s="58">
        <f>SUMIF($M$3:$BT$3,BX$3,$M8:$BT8)</f>
        <v>2</v>
      </c>
      <c r="BY8" s="58">
        <f>SUMIF($M$3:$BT$3,BY$3,$M8:$BT8)</f>
        <v>3</v>
      </c>
      <c r="BZ8" s="58">
        <f>SUMIF($M$3:$BT$3,BZ$3,$M8:$BT8)</f>
        <v>6</v>
      </c>
    </row>
    <row r="9" spans="1:78" ht="15.6">
      <c r="A9" s="48" t="s">
        <v>30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26">
        <f>Assumptions!G9</f>
        <v>1</v>
      </c>
      <c r="N9" s="109">
        <f t="shared" ref="N9:AS9" si="3">M11</f>
        <v>1</v>
      </c>
      <c r="O9" s="109">
        <f t="shared" si="3"/>
        <v>1</v>
      </c>
      <c r="P9" s="109">
        <f t="shared" si="3"/>
        <v>2</v>
      </c>
      <c r="Q9" s="109">
        <f t="shared" si="3"/>
        <v>2</v>
      </c>
      <c r="R9" s="109">
        <f t="shared" si="3"/>
        <v>2</v>
      </c>
      <c r="S9" s="109">
        <f t="shared" si="3"/>
        <v>3</v>
      </c>
      <c r="T9" s="109">
        <f t="shared" si="3"/>
        <v>3</v>
      </c>
      <c r="U9" s="109">
        <f t="shared" si="3"/>
        <v>3</v>
      </c>
      <c r="V9" s="109">
        <f t="shared" si="3"/>
        <v>4</v>
      </c>
      <c r="W9" s="109">
        <f t="shared" si="3"/>
        <v>4</v>
      </c>
      <c r="X9" s="109">
        <f t="shared" si="3"/>
        <v>4</v>
      </c>
      <c r="Y9" s="109">
        <f t="shared" si="3"/>
        <v>5</v>
      </c>
      <c r="Z9" s="109">
        <f t="shared" si="3"/>
        <v>5</v>
      </c>
      <c r="AA9" s="109">
        <f t="shared" si="3"/>
        <v>5</v>
      </c>
      <c r="AB9" s="109">
        <f t="shared" si="3"/>
        <v>6</v>
      </c>
      <c r="AC9" s="109">
        <f t="shared" si="3"/>
        <v>6</v>
      </c>
      <c r="AD9" s="109">
        <f t="shared" si="3"/>
        <v>6</v>
      </c>
      <c r="AE9" s="109">
        <f t="shared" si="3"/>
        <v>7</v>
      </c>
      <c r="AF9" s="109">
        <f t="shared" si="3"/>
        <v>7</v>
      </c>
      <c r="AG9" s="109">
        <f t="shared" si="3"/>
        <v>7</v>
      </c>
      <c r="AH9" s="109">
        <f t="shared" si="3"/>
        <v>8</v>
      </c>
      <c r="AI9" s="109">
        <f t="shared" si="3"/>
        <v>8</v>
      </c>
      <c r="AJ9" s="109">
        <f t="shared" si="3"/>
        <v>8</v>
      </c>
      <c r="AK9" s="109">
        <f t="shared" si="3"/>
        <v>9</v>
      </c>
      <c r="AL9" s="109">
        <f t="shared" si="3"/>
        <v>9</v>
      </c>
      <c r="AM9" s="109">
        <f t="shared" si="3"/>
        <v>9</v>
      </c>
      <c r="AN9" s="109">
        <f t="shared" si="3"/>
        <v>9</v>
      </c>
      <c r="AO9" s="109">
        <f t="shared" si="3"/>
        <v>9</v>
      </c>
      <c r="AP9" s="109">
        <f t="shared" si="3"/>
        <v>9</v>
      </c>
      <c r="AQ9" s="109">
        <f t="shared" si="3"/>
        <v>10</v>
      </c>
      <c r="AR9" s="109">
        <f t="shared" si="3"/>
        <v>10</v>
      </c>
      <c r="AS9" s="109">
        <f t="shared" si="3"/>
        <v>10</v>
      </c>
      <c r="AT9" s="109">
        <f t="shared" ref="AT9:BT9" si="4">AS11</f>
        <v>10</v>
      </c>
      <c r="AU9" s="109">
        <f t="shared" si="4"/>
        <v>10</v>
      </c>
      <c r="AV9" s="109">
        <f t="shared" si="4"/>
        <v>10</v>
      </c>
      <c r="AW9" s="109">
        <f t="shared" si="4"/>
        <v>11</v>
      </c>
      <c r="AX9" s="109">
        <f t="shared" si="4"/>
        <v>11</v>
      </c>
      <c r="AY9" s="109">
        <f t="shared" si="4"/>
        <v>11</v>
      </c>
      <c r="AZ9" s="109">
        <f t="shared" si="4"/>
        <v>11</v>
      </c>
      <c r="BA9" s="109">
        <f t="shared" si="4"/>
        <v>12</v>
      </c>
      <c r="BB9" s="109">
        <f t="shared" si="4"/>
        <v>12</v>
      </c>
      <c r="BC9" s="109">
        <f t="shared" si="4"/>
        <v>12</v>
      </c>
      <c r="BD9" s="109">
        <f t="shared" si="4"/>
        <v>12</v>
      </c>
      <c r="BE9" s="109">
        <f t="shared" si="4"/>
        <v>13</v>
      </c>
      <c r="BF9" s="109">
        <f t="shared" si="4"/>
        <v>13</v>
      </c>
      <c r="BG9" s="109">
        <f t="shared" si="4"/>
        <v>13</v>
      </c>
      <c r="BH9" s="109">
        <f t="shared" si="4"/>
        <v>13</v>
      </c>
      <c r="BI9" s="109">
        <f t="shared" si="4"/>
        <v>14</v>
      </c>
      <c r="BJ9" s="109">
        <f t="shared" si="4"/>
        <v>14</v>
      </c>
      <c r="BK9" s="109">
        <f t="shared" si="4"/>
        <v>15</v>
      </c>
      <c r="BL9" s="109">
        <f t="shared" si="4"/>
        <v>15</v>
      </c>
      <c r="BM9" s="109">
        <f t="shared" si="4"/>
        <v>16</v>
      </c>
      <c r="BN9" s="109">
        <f t="shared" si="4"/>
        <v>16</v>
      </c>
      <c r="BO9" s="109">
        <f t="shared" si="4"/>
        <v>17</v>
      </c>
      <c r="BP9" s="109">
        <f t="shared" si="4"/>
        <v>17</v>
      </c>
      <c r="BQ9" s="109">
        <f t="shared" si="4"/>
        <v>18</v>
      </c>
      <c r="BR9" s="109">
        <f t="shared" si="4"/>
        <v>18</v>
      </c>
      <c r="BS9" s="109">
        <f t="shared" si="4"/>
        <v>19</v>
      </c>
      <c r="BT9" s="109">
        <f t="shared" si="4"/>
        <v>19</v>
      </c>
      <c r="BU9" s="35"/>
      <c r="BV9" s="127">
        <f>M9</f>
        <v>1</v>
      </c>
      <c r="BW9" s="127">
        <f>BV11</f>
        <v>5</v>
      </c>
      <c r="BX9" s="127">
        <f>BW11</f>
        <v>9</v>
      </c>
      <c r="BY9" s="127">
        <f>BX11</f>
        <v>11</v>
      </c>
      <c r="BZ9" s="127">
        <f>BY11</f>
        <v>14</v>
      </c>
    </row>
    <row r="10" spans="1:78">
      <c r="A10" s="48" t="s">
        <v>108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9">
        <f>-ROUND(M8*Assumptions!X14,0)</f>
        <v>0</v>
      </c>
      <c r="Y10" s="129">
        <f>-ROUND(N8*Assumptions!Y14,0)</f>
        <v>0</v>
      </c>
      <c r="Z10" s="129">
        <f>-ROUND(O8*Assumptions!Z14,0)</f>
        <v>0</v>
      </c>
      <c r="AA10" s="129">
        <f>-ROUND(P8*Assumptions!AA14,0)</f>
        <v>0</v>
      </c>
      <c r="AB10" s="129">
        <f>-ROUND(Q8*Assumptions!AB14,0)</f>
        <v>0</v>
      </c>
      <c r="AC10" s="129">
        <f>-ROUND(R8*Assumptions!AC14,0)</f>
        <v>0</v>
      </c>
      <c r="AD10" s="129">
        <f>-ROUND(S8*Assumptions!AD14,0)</f>
        <v>0</v>
      </c>
      <c r="AE10" s="129">
        <f>-ROUND(T8*Assumptions!AE14,0)</f>
        <v>0</v>
      </c>
      <c r="AF10" s="129">
        <f>-ROUND(U8*Assumptions!AF14,0)</f>
        <v>0</v>
      </c>
      <c r="AG10" s="129">
        <f>-ROUND(V8*Assumptions!AG14,0)</f>
        <v>0</v>
      </c>
      <c r="AH10" s="129">
        <f>-ROUND(W8*Assumptions!AH14,0)</f>
        <v>0</v>
      </c>
      <c r="AI10" s="129">
        <f>-ROUND(X8*Assumptions!AI14,0)</f>
        <v>0</v>
      </c>
      <c r="AJ10" s="129">
        <f>-ROUND(Y8*Assumptions!AJ14,0)</f>
        <v>0</v>
      </c>
      <c r="AK10" s="129">
        <f>-ROUND(Z8*Assumptions!AK14,0)</f>
        <v>0</v>
      </c>
      <c r="AL10" s="129">
        <f>-ROUND(AA8*Assumptions!AL14,0)</f>
        <v>0</v>
      </c>
      <c r="AM10" s="129">
        <f>-ROUND(AB8*Assumptions!AM14,0)</f>
        <v>0</v>
      </c>
      <c r="AN10" s="129">
        <f>-ROUND(AC8*Assumptions!AN14,0)</f>
        <v>0</v>
      </c>
      <c r="AO10" s="129">
        <f>-ROUND(AD8*Assumptions!AO14,0)</f>
        <v>0</v>
      </c>
      <c r="AP10" s="129">
        <f>-ROUND(AE8*Assumptions!AP14,0)</f>
        <v>0</v>
      </c>
      <c r="AQ10" s="129">
        <f>-ROUND(AF8*Assumptions!AQ14,0)</f>
        <v>0</v>
      </c>
      <c r="AR10" s="129">
        <f>-ROUND(AG8*Assumptions!AR14,0)</f>
        <v>0</v>
      </c>
      <c r="AS10" s="129">
        <f>-ROUND(AH8*Assumptions!AS14,0)</f>
        <v>0</v>
      </c>
      <c r="AT10" s="129">
        <f>-ROUND(AI8*Assumptions!AT14,0)</f>
        <v>0</v>
      </c>
      <c r="AU10" s="129">
        <f>-ROUND(AJ8*Assumptions!AU14,0)</f>
        <v>0</v>
      </c>
      <c r="AV10" s="129">
        <f>-ROUND(AK8*Assumptions!AV14,0)</f>
        <v>0</v>
      </c>
      <c r="AW10" s="129">
        <f>-ROUND(AL8*Assumptions!AW14,0)</f>
        <v>0</v>
      </c>
      <c r="AX10" s="129">
        <f>-ROUND(AM8*Assumptions!AX14,0)</f>
        <v>0</v>
      </c>
      <c r="AY10" s="129">
        <f>-ROUND(AN8*Assumptions!AY14,0)</f>
        <v>0</v>
      </c>
      <c r="AZ10" s="129">
        <f>-ROUND(AO8*Assumptions!AZ14,0)</f>
        <v>0</v>
      </c>
      <c r="BA10" s="129">
        <f>-ROUND(AP8*Assumptions!BA14,0)</f>
        <v>0</v>
      </c>
      <c r="BB10" s="129">
        <f>-ROUND(AQ8*Assumptions!BB14,0)</f>
        <v>0</v>
      </c>
      <c r="BC10" s="129">
        <f>-ROUND(AR8*Assumptions!BC14,0)</f>
        <v>0</v>
      </c>
      <c r="BD10" s="129">
        <f>-ROUND(AS8*Assumptions!BD14,0)</f>
        <v>0</v>
      </c>
      <c r="BE10" s="129">
        <f>-ROUND(AT8*Assumptions!BE14,0)</f>
        <v>0</v>
      </c>
      <c r="BF10" s="129">
        <f>-ROUND(AU8*Assumptions!BF14,0)</f>
        <v>0</v>
      </c>
      <c r="BG10" s="129">
        <f>-ROUND(AV8*Assumptions!BG14,0)</f>
        <v>0</v>
      </c>
      <c r="BH10" s="129">
        <f>-ROUND(AW8*Assumptions!BH14,0)</f>
        <v>0</v>
      </c>
      <c r="BI10" s="129">
        <f>-ROUND(AX8*Assumptions!BI14,0)</f>
        <v>0</v>
      </c>
      <c r="BJ10" s="129">
        <f>-ROUND(AY8*Assumptions!BJ14,0)</f>
        <v>0</v>
      </c>
      <c r="BK10" s="129">
        <f>-ROUND(AZ8*Assumptions!BK14,0)</f>
        <v>0</v>
      </c>
      <c r="BL10" s="129">
        <f>-ROUND(BA8*Assumptions!BL14,0)</f>
        <v>0</v>
      </c>
      <c r="BM10" s="129">
        <f>-ROUND(BB8*Assumptions!BM14,0)</f>
        <v>0</v>
      </c>
      <c r="BN10" s="129">
        <f>-ROUND(BC8*Assumptions!BN14,0)</f>
        <v>0</v>
      </c>
      <c r="BO10" s="129">
        <f>-ROUND(BD8*Assumptions!BO14,0)</f>
        <v>0</v>
      </c>
      <c r="BP10" s="129">
        <f>-ROUND(BE8*Assumptions!BP14,0)</f>
        <v>0</v>
      </c>
      <c r="BQ10" s="129">
        <f>-ROUND(BF8*Assumptions!BQ14,0)</f>
        <v>0</v>
      </c>
      <c r="BR10" s="129">
        <f>-ROUND(BG8*Assumptions!BR14,0)</f>
        <v>0</v>
      </c>
      <c r="BS10" s="129">
        <f>-ROUND(BH8*Assumptions!BS14,0)</f>
        <v>0</v>
      </c>
      <c r="BT10" s="129">
        <f>-ROUND(BI8*Assumptions!BT14,0)</f>
        <v>0</v>
      </c>
      <c r="BU10" s="35"/>
      <c r="BV10" s="58">
        <f>SUMIF($M$3:$BT$3,BV$3,$M10:$BT10)</f>
        <v>0</v>
      </c>
      <c r="BW10" s="58">
        <f>SUMIF($M$3:$BT$3,BW$3,$M10:$BT10)</f>
        <v>0</v>
      </c>
      <c r="BX10" s="58">
        <f>SUMIF($M$3:$BT$3,BX$3,$M10:$BT10)</f>
        <v>0</v>
      </c>
      <c r="BY10" s="58">
        <f>SUMIF($M$3:$BT$3,BY$3,$M10:$BT10)</f>
        <v>0</v>
      </c>
      <c r="BZ10" s="58">
        <f>SUMIF($M$3:$BT$3,BZ$3,$M10:$BT10)</f>
        <v>0</v>
      </c>
    </row>
    <row r="11" spans="1:78">
      <c r="A11" s="48" t="s">
        <v>109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 t="s">
        <v>89</v>
      </c>
      <c r="L11" s="109"/>
      <c r="M11" s="130">
        <f t="shared" ref="M11:AR11" si="5">SUM(M8:M10)</f>
        <v>1</v>
      </c>
      <c r="N11" s="130">
        <f t="shared" si="5"/>
        <v>1</v>
      </c>
      <c r="O11" s="130">
        <f t="shared" si="5"/>
        <v>2</v>
      </c>
      <c r="P11" s="130">
        <f t="shared" si="5"/>
        <v>2</v>
      </c>
      <c r="Q11" s="130">
        <f t="shared" si="5"/>
        <v>2</v>
      </c>
      <c r="R11" s="130">
        <f t="shared" si="5"/>
        <v>3</v>
      </c>
      <c r="S11" s="130">
        <f t="shared" si="5"/>
        <v>3</v>
      </c>
      <c r="T11" s="130">
        <f t="shared" si="5"/>
        <v>3</v>
      </c>
      <c r="U11" s="130">
        <f t="shared" si="5"/>
        <v>4</v>
      </c>
      <c r="V11" s="130">
        <f t="shared" si="5"/>
        <v>4</v>
      </c>
      <c r="W11" s="130">
        <f t="shared" si="5"/>
        <v>4</v>
      </c>
      <c r="X11" s="130">
        <f t="shared" si="5"/>
        <v>5</v>
      </c>
      <c r="Y11" s="130">
        <f t="shared" si="5"/>
        <v>5</v>
      </c>
      <c r="Z11" s="130">
        <f t="shared" si="5"/>
        <v>5</v>
      </c>
      <c r="AA11" s="130">
        <f t="shared" si="5"/>
        <v>6</v>
      </c>
      <c r="AB11" s="130">
        <f t="shared" si="5"/>
        <v>6</v>
      </c>
      <c r="AC11" s="130">
        <f t="shared" si="5"/>
        <v>6</v>
      </c>
      <c r="AD11" s="131">
        <f t="shared" si="5"/>
        <v>7</v>
      </c>
      <c r="AE11" s="130">
        <f t="shared" si="5"/>
        <v>7</v>
      </c>
      <c r="AF11" s="130">
        <f t="shared" si="5"/>
        <v>7</v>
      </c>
      <c r="AG11" s="130">
        <f t="shared" si="5"/>
        <v>8</v>
      </c>
      <c r="AH11" s="130">
        <f t="shared" si="5"/>
        <v>8</v>
      </c>
      <c r="AI11" s="130">
        <f t="shared" si="5"/>
        <v>8</v>
      </c>
      <c r="AJ11" s="130">
        <f t="shared" si="5"/>
        <v>9</v>
      </c>
      <c r="AK11" s="130">
        <f t="shared" si="5"/>
        <v>9</v>
      </c>
      <c r="AL11" s="130">
        <f t="shared" si="5"/>
        <v>9</v>
      </c>
      <c r="AM11" s="130">
        <f t="shared" si="5"/>
        <v>9</v>
      </c>
      <c r="AN11" s="130">
        <f t="shared" si="5"/>
        <v>9</v>
      </c>
      <c r="AO11" s="130">
        <f t="shared" si="5"/>
        <v>9</v>
      </c>
      <c r="AP11" s="130">
        <f t="shared" si="5"/>
        <v>10</v>
      </c>
      <c r="AQ11" s="130">
        <f t="shared" si="5"/>
        <v>10</v>
      </c>
      <c r="AR11" s="130">
        <f t="shared" si="5"/>
        <v>10</v>
      </c>
      <c r="AS11" s="130">
        <f t="shared" ref="AS11:BX11" si="6">SUM(AS8:AS10)</f>
        <v>10</v>
      </c>
      <c r="AT11" s="130">
        <f t="shared" si="6"/>
        <v>10</v>
      </c>
      <c r="AU11" s="130">
        <f t="shared" si="6"/>
        <v>10</v>
      </c>
      <c r="AV11" s="130">
        <f t="shared" si="6"/>
        <v>11</v>
      </c>
      <c r="AW11" s="130">
        <f t="shared" si="6"/>
        <v>11</v>
      </c>
      <c r="AX11" s="130">
        <f t="shared" si="6"/>
        <v>11</v>
      </c>
      <c r="AY11" s="130">
        <f t="shared" si="6"/>
        <v>11</v>
      </c>
      <c r="AZ11" s="130">
        <f t="shared" si="6"/>
        <v>12</v>
      </c>
      <c r="BA11" s="130">
        <f t="shared" si="6"/>
        <v>12</v>
      </c>
      <c r="BB11" s="130">
        <f t="shared" si="6"/>
        <v>12</v>
      </c>
      <c r="BC11" s="130">
        <f t="shared" si="6"/>
        <v>12</v>
      </c>
      <c r="BD11" s="130">
        <f t="shared" si="6"/>
        <v>13</v>
      </c>
      <c r="BE11" s="130">
        <f t="shared" si="6"/>
        <v>13</v>
      </c>
      <c r="BF11" s="130">
        <f t="shared" si="6"/>
        <v>13</v>
      </c>
      <c r="BG11" s="130">
        <f t="shared" si="6"/>
        <v>13</v>
      </c>
      <c r="BH11" s="130">
        <f t="shared" si="6"/>
        <v>14</v>
      </c>
      <c r="BI11" s="130">
        <f t="shared" si="6"/>
        <v>14</v>
      </c>
      <c r="BJ11" s="130">
        <f t="shared" si="6"/>
        <v>15</v>
      </c>
      <c r="BK11" s="130">
        <f t="shared" si="6"/>
        <v>15</v>
      </c>
      <c r="BL11" s="130">
        <f t="shared" si="6"/>
        <v>16</v>
      </c>
      <c r="BM11" s="130">
        <f t="shared" si="6"/>
        <v>16</v>
      </c>
      <c r="BN11" s="130">
        <f t="shared" si="6"/>
        <v>17</v>
      </c>
      <c r="BO11" s="130">
        <f t="shared" si="6"/>
        <v>17</v>
      </c>
      <c r="BP11" s="130">
        <f t="shared" si="6"/>
        <v>18</v>
      </c>
      <c r="BQ11" s="130">
        <f t="shared" si="6"/>
        <v>18</v>
      </c>
      <c r="BR11" s="130">
        <f t="shared" si="6"/>
        <v>19</v>
      </c>
      <c r="BS11" s="130">
        <f t="shared" si="6"/>
        <v>19</v>
      </c>
      <c r="BT11" s="131">
        <f t="shared" si="6"/>
        <v>20</v>
      </c>
      <c r="BU11" s="35"/>
      <c r="BV11" s="132">
        <f>SUM(BV8:BV10)</f>
        <v>5</v>
      </c>
      <c r="BW11" s="132">
        <f>SUM(BW8:BW10)</f>
        <v>9</v>
      </c>
      <c r="BX11" s="132">
        <f>SUM(BX8:BX10)</f>
        <v>11</v>
      </c>
      <c r="BY11" s="132">
        <f>SUM(BY8:BY10)</f>
        <v>14</v>
      </c>
      <c r="BZ11" s="132">
        <f>SUM(BZ8:BZ10)</f>
        <v>20</v>
      </c>
    </row>
    <row r="12" spans="1:78" ht="15.6">
      <c r="A12" s="133" t="s">
        <v>110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35"/>
      <c r="BV12" s="134"/>
      <c r="BW12" s="134"/>
      <c r="BX12" s="134"/>
      <c r="BY12" s="134"/>
      <c r="BZ12" s="134"/>
    </row>
    <row r="13" spans="1:78">
      <c r="A13" s="109" t="s">
        <v>59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35">
        <f>M8*Assumptions!M11</f>
        <v>0</v>
      </c>
      <c r="N13" s="135">
        <f>N8*Assumptions!N11</f>
        <v>0</v>
      </c>
      <c r="O13" s="135">
        <f>O8*Assumptions!O11</f>
        <v>75000</v>
      </c>
      <c r="P13" s="135">
        <f>P8*Assumptions!P11</f>
        <v>0</v>
      </c>
      <c r="Q13" s="135">
        <f>Q8*Assumptions!Q11</f>
        <v>0</v>
      </c>
      <c r="R13" s="135">
        <f>R8*Assumptions!R11</f>
        <v>75000</v>
      </c>
      <c r="S13" s="135">
        <f>S8*Assumptions!S11</f>
        <v>0</v>
      </c>
      <c r="T13" s="135">
        <f>T8*Assumptions!T11</f>
        <v>0</v>
      </c>
      <c r="U13" s="135">
        <f>U8*Assumptions!U11</f>
        <v>75000</v>
      </c>
      <c r="V13" s="135">
        <f>V8*Assumptions!V11</f>
        <v>0</v>
      </c>
      <c r="W13" s="135">
        <f>W8*Assumptions!W11</f>
        <v>0</v>
      </c>
      <c r="X13" s="135">
        <f>X8*Assumptions!X11</f>
        <v>75000</v>
      </c>
      <c r="Y13" s="135">
        <f>Y8*Assumptions!Y11</f>
        <v>0</v>
      </c>
      <c r="Z13" s="135">
        <f>Z8*Assumptions!Z11</f>
        <v>0</v>
      </c>
      <c r="AA13" s="135">
        <f>AA8*Assumptions!AA11</f>
        <v>75000</v>
      </c>
      <c r="AB13" s="135">
        <f>AB8*Assumptions!AB11</f>
        <v>0</v>
      </c>
      <c r="AC13" s="135">
        <f>AC8*Assumptions!AC11</f>
        <v>0</v>
      </c>
      <c r="AD13" s="135">
        <f>AD8*Assumptions!AD11</f>
        <v>75000</v>
      </c>
      <c r="AE13" s="135">
        <f>AE8*Assumptions!AE11</f>
        <v>0</v>
      </c>
      <c r="AF13" s="135">
        <f>AF8*Assumptions!AF11</f>
        <v>0</v>
      </c>
      <c r="AG13" s="135">
        <f>AG8*Assumptions!AG11</f>
        <v>75000</v>
      </c>
      <c r="AH13" s="135">
        <f>AH8*Assumptions!AH11</f>
        <v>0</v>
      </c>
      <c r="AI13" s="135">
        <f>AI8*Assumptions!AI11</f>
        <v>0</v>
      </c>
      <c r="AJ13" s="135">
        <f>AJ8*Assumptions!AJ11</f>
        <v>75000</v>
      </c>
      <c r="AK13" s="135">
        <f>AK8*Assumptions!AK11</f>
        <v>0</v>
      </c>
      <c r="AL13" s="135">
        <f>AL8*Assumptions!AL11</f>
        <v>0</v>
      </c>
      <c r="AM13" s="135">
        <f>AM8*Assumptions!AM11</f>
        <v>0</v>
      </c>
      <c r="AN13" s="135">
        <f>AN8*Assumptions!AN11</f>
        <v>0</v>
      </c>
      <c r="AO13" s="135">
        <f>AO8*Assumptions!AO11</f>
        <v>0</v>
      </c>
      <c r="AP13" s="135">
        <f>AP8*Assumptions!AP11</f>
        <v>75000</v>
      </c>
      <c r="AQ13" s="135">
        <f>AQ8*Assumptions!AQ11</f>
        <v>0</v>
      </c>
      <c r="AR13" s="135">
        <f>AR8*Assumptions!AR11</f>
        <v>0</v>
      </c>
      <c r="AS13" s="135">
        <f>AS8*Assumptions!AS11</f>
        <v>0</v>
      </c>
      <c r="AT13" s="135">
        <f>AT8*Assumptions!AT11</f>
        <v>0</v>
      </c>
      <c r="AU13" s="135">
        <f>AU8*Assumptions!AU11</f>
        <v>0</v>
      </c>
      <c r="AV13" s="135">
        <f>AV8*Assumptions!AV11</f>
        <v>75000</v>
      </c>
      <c r="AW13" s="135">
        <f>AW8*Assumptions!AW11</f>
        <v>0</v>
      </c>
      <c r="AX13" s="135">
        <f>AX8*Assumptions!AX11</f>
        <v>0</v>
      </c>
      <c r="AY13" s="135">
        <f>AY8*Assumptions!AY11</f>
        <v>0</v>
      </c>
      <c r="AZ13" s="135">
        <f>AZ8*Assumptions!AZ11</f>
        <v>75000</v>
      </c>
      <c r="BA13" s="135">
        <f>BA8*Assumptions!BA11</f>
        <v>0</v>
      </c>
      <c r="BB13" s="135">
        <f>BB8*Assumptions!BB11</f>
        <v>0</v>
      </c>
      <c r="BC13" s="135">
        <f>BC8*Assumptions!BC11</f>
        <v>0</v>
      </c>
      <c r="BD13" s="135">
        <f>BD8*Assumptions!BD11</f>
        <v>75000</v>
      </c>
      <c r="BE13" s="135">
        <f>BE8*Assumptions!BE11</f>
        <v>0</v>
      </c>
      <c r="BF13" s="135">
        <f>BF8*Assumptions!BF11</f>
        <v>0</v>
      </c>
      <c r="BG13" s="135">
        <f>BG8*Assumptions!BG11</f>
        <v>0</v>
      </c>
      <c r="BH13" s="135">
        <f>BH8*Assumptions!BH11</f>
        <v>75000</v>
      </c>
      <c r="BI13" s="135">
        <f>BI8*Assumptions!BI11</f>
        <v>0</v>
      </c>
      <c r="BJ13" s="135">
        <f>BJ8*Assumptions!BJ11</f>
        <v>75000</v>
      </c>
      <c r="BK13" s="135">
        <f>BK8*Assumptions!BK11</f>
        <v>0</v>
      </c>
      <c r="BL13" s="135">
        <f>BL8*Assumptions!BL11</f>
        <v>75000</v>
      </c>
      <c r="BM13" s="135">
        <f>BM8*Assumptions!BM11</f>
        <v>0</v>
      </c>
      <c r="BN13" s="135">
        <f>BN8*Assumptions!BN11</f>
        <v>75000</v>
      </c>
      <c r="BO13" s="135">
        <f>BO8*Assumptions!BO11</f>
        <v>0</v>
      </c>
      <c r="BP13" s="135">
        <f>BP8*Assumptions!BP11</f>
        <v>75000</v>
      </c>
      <c r="BQ13" s="135">
        <f>BQ8*Assumptions!BQ11</f>
        <v>0</v>
      </c>
      <c r="BR13" s="135">
        <f>BR8*Assumptions!BR11</f>
        <v>75000</v>
      </c>
      <c r="BS13" s="135">
        <f>BS8*Assumptions!BS11</f>
        <v>0</v>
      </c>
      <c r="BT13" s="135">
        <f>BT8*Assumptions!BT11</f>
        <v>75000</v>
      </c>
      <c r="BU13" s="35"/>
      <c r="BV13" s="58">
        <f>SUMIF($M$3:$BT$3,BV$3,$M13:$BT13)</f>
        <v>300000</v>
      </c>
      <c r="BW13" s="58">
        <f>SUMIF($M$3:$BT$3,BW$3,$M13:$BT13)</f>
        <v>300000</v>
      </c>
      <c r="BX13" s="58">
        <f>SUMIF($M$3:$BT$3,BX$3,$M13:$BT13)</f>
        <v>150000</v>
      </c>
      <c r="BY13" s="58">
        <f>SUMIF($M$3:$BT$3,BY$3,$M13:$BT13)</f>
        <v>225000</v>
      </c>
      <c r="BZ13" s="58">
        <f>SUMIF($M$3:$BT$3,BZ$3,$M13:$BT13)</f>
        <v>450000</v>
      </c>
    </row>
    <row r="14" spans="1:78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35"/>
    </row>
    <row r="15" spans="1:78" ht="15.6">
      <c r="A15" s="124" t="s">
        <v>111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</row>
    <row r="16" spans="1:78" ht="15.6">
      <c r="A16" s="67" t="s">
        <v>112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136">
        <f>M11*Assumptions!M11/12</f>
        <v>6250</v>
      </c>
      <c r="N16" s="136">
        <f>N11*Assumptions!N11/12</f>
        <v>6250</v>
      </c>
      <c r="O16" s="136">
        <f>O11*Assumptions!O11/12</f>
        <v>12500</v>
      </c>
      <c r="P16" s="136">
        <f>P11*Assumptions!P11/12</f>
        <v>12500</v>
      </c>
      <c r="Q16" s="136">
        <f>Q11*Assumptions!Q11/12</f>
        <v>12500</v>
      </c>
      <c r="R16" s="136">
        <f>R11*Assumptions!R11/12</f>
        <v>18750</v>
      </c>
      <c r="S16" s="136">
        <f>S11*Assumptions!S11/12</f>
        <v>18750</v>
      </c>
      <c r="T16" s="136">
        <f>T11*Assumptions!T11/12</f>
        <v>18750</v>
      </c>
      <c r="U16" s="136">
        <f>U11*Assumptions!U11/12</f>
        <v>25000</v>
      </c>
      <c r="V16" s="136">
        <f>V11*Assumptions!V11/12</f>
        <v>25000</v>
      </c>
      <c r="W16" s="136">
        <f>W11*Assumptions!W11/12</f>
        <v>25000</v>
      </c>
      <c r="X16" s="136">
        <f>X11*Assumptions!X11/12</f>
        <v>31250</v>
      </c>
      <c r="Y16" s="136">
        <f>Y11*Assumptions!Y11/12</f>
        <v>31250</v>
      </c>
      <c r="Z16" s="136">
        <f>Z11*Assumptions!Z11/12</f>
        <v>31250</v>
      </c>
      <c r="AA16" s="136">
        <f>AA11*Assumptions!AA11/12</f>
        <v>37500</v>
      </c>
      <c r="AB16" s="136">
        <f>AB11*Assumptions!AB11/12</f>
        <v>37500</v>
      </c>
      <c r="AC16" s="136">
        <f>AC11*Assumptions!AC11/12</f>
        <v>37500</v>
      </c>
      <c r="AD16" s="136">
        <f>AD11*Assumptions!AD11/12</f>
        <v>43750</v>
      </c>
      <c r="AE16" s="136">
        <f>AE11*Assumptions!AE11/12</f>
        <v>43750</v>
      </c>
      <c r="AF16" s="136">
        <f>AF11*Assumptions!AF11/12</f>
        <v>43750</v>
      </c>
      <c r="AG16" s="136">
        <f>AG11*Assumptions!AG11/12</f>
        <v>50000</v>
      </c>
      <c r="AH16" s="136">
        <f>AH11*Assumptions!AH11/12</f>
        <v>50000</v>
      </c>
      <c r="AI16" s="136">
        <f>AI11*Assumptions!AI11/12</f>
        <v>50000</v>
      </c>
      <c r="AJ16" s="136">
        <f>AJ11*Assumptions!AJ11/12</f>
        <v>56250</v>
      </c>
      <c r="AK16" s="136">
        <f>AK11*Assumptions!AK11/12</f>
        <v>56250</v>
      </c>
      <c r="AL16" s="136">
        <f>AL11*Assumptions!AL11/12</f>
        <v>56250</v>
      </c>
      <c r="AM16" s="136">
        <f>AM11*Assumptions!AM11/12</f>
        <v>56250</v>
      </c>
      <c r="AN16" s="136">
        <f>AN11*Assumptions!AN11/12</f>
        <v>56250</v>
      </c>
      <c r="AO16" s="136">
        <f>AO11*Assumptions!AO11/12</f>
        <v>56250</v>
      </c>
      <c r="AP16" s="136">
        <f>AP11*Assumptions!AP11/12</f>
        <v>62500</v>
      </c>
      <c r="AQ16" s="136">
        <f>AQ11*Assumptions!AQ11/12</f>
        <v>62500</v>
      </c>
      <c r="AR16" s="136">
        <f>AR11*Assumptions!AR11/12</f>
        <v>62500</v>
      </c>
      <c r="AS16" s="136">
        <f>AS11*Assumptions!AS11/12</f>
        <v>62500</v>
      </c>
      <c r="AT16" s="136">
        <f>AT11*Assumptions!AT11/12</f>
        <v>62500</v>
      </c>
      <c r="AU16" s="136">
        <f>AU11*Assumptions!AU11/12</f>
        <v>62500</v>
      </c>
      <c r="AV16" s="136">
        <f>AV11*Assumptions!AV11/12</f>
        <v>68750</v>
      </c>
      <c r="AW16" s="136">
        <f>AW11*Assumptions!AW11/12</f>
        <v>68750</v>
      </c>
      <c r="AX16" s="136">
        <f>AX11*Assumptions!AX11/12</f>
        <v>68750</v>
      </c>
      <c r="AY16" s="136">
        <f>AY11*Assumptions!AY11/12</f>
        <v>68750</v>
      </c>
      <c r="AZ16" s="136">
        <f>AZ11*Assumptions!AZ11/12</f>
        <v>75000</v>
      </c>
      <c r="BA16" s="136">
        <f>BA11*Assumptions!BA11/12</f>
        <v>75000</v>
      </c>
      <c r="BB16" s="136">
        <f>BB11*Assumptions!BB11/12</f>
        <v>75000</v>
      </c>
      <c r="BC16" s="136">
        <f>BC11*Assumptions!BC11/12</f>
        <v>75000</v>
      </c>
      <c r="BD16" s="136">
        <f>BD11*Assumptions!BD11/12</f>
        <v>81250</v>
      </c>
      <c r="BE16" s="136">
        <f>BE11*Assumptions!BE11/12</f>
        <v>81250</v>
      </c>
      <c r="BF16" s="136">
        <f>BF11*Assumptions!BF11/12</f>
        <v>81250</v>
      </c>
      <c r="BG16" s="136">
        <f>BG11*Assumptions!BG11/12</f>
        <v>81250</v>
      </c>
      <c r="BH16" s="136">
        <f>BH11*Assumptions!BH11/12</f>
        <v>87500</v>
      </c>
      <c r="BI16" s="136">
        <f>BI11*Assumptions!BI11/12</f>
        <v>87500</v>
      </c>
      <c r="BJ16" s="136">
        <f>BJ11*Assumptions!BJ11/12</f>
        <v>93750</v>
      </c>
      <c r="BK16" s="136">
        <f>BK11*Assumptions!BK11/12</f>
        <v>93750</v>
      </c>
      <c r="BL16" s="136">
        <f>BL11*Assumptions!BL11/12</f>
        <v>100000</v>
      </c>
      <c r="BM16" s="136">
        <f>BM11*Assumptions!BM11/12</f>
        <v>100000</v>
      </c>
      <c r="BN16" s="136">
        <f>BN11*Assumptions!BN11/12</f>
        <v>106250</v>
      </c>
      <c r="BO16" s="136">
        <f>BO11*Assumptions!BO11/12</f>
        <v>106250</v>
      </c>
      <c r="BP16" s="136">
        <f>BP11*Assumptions!BP11/12</f>
        <v>112500</v>
      </c>
      <c r="BQ16" s="136">
        <f>BQ11*Assumptions!BQ11/12</f>
        <v>112500</v>
      </c>
      <c r="BR16" s="136">
        <f>BR11*Assumptions!BR11/12</f>
        <v>118750</v>
      </c>
      <c r="BS16" s="136">
        <f>BS11*Assumptions!BS11/12</f>
        <v>118750</v>
      </c>
      <c r="BT16" s="136">
        <f>BT11*Assumptions!BT11/12</f>
        <v>125000</v>
      </c>
      <c r="BU16" s="35"/>
      <c r="BV16" s="58">
        <f>SUMIF($M$3:$BT$3,BV$3,$M16:$BT16)</f>
        <v>212500</v>
      </c>
      <c r="BW16" s="58">
        <f>SUMIF($M$3:$BT$3,BW$3,$M16:$BT16)</f>
        <v>512500</v>
      </c>
      <c r="BX16" s="58">
        <f>SUMIF($M$3:$BT$3,BX$3,$M16:$BT16)</f>
        <v>725000</v>
      </c>
      <c r="BY16" s="58">
        <f>SUMIF($M$3:$BT$3,BY$3,$M16:$BT16)</f>
        <v>918750</v>
      </c>
      <c r="BZ16" s="58">
        <f>SUMIF($M$3:$BT$3,BZ$3,$M16:$BT16)</f>
        <v>1275000</v>
      </c>
    </row>
    <row r="17" spans="1:78" ht="15.6">
      <c r="A17" s="67" t="s">
        <v>113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137">
        <f t="shared" ref="M17:AR17" si="7">M16*12</f>
        <v>75000</v>
      </c>
      <c r="N17" s="137">
        <f t="shared" si="7"/>
        <v>75000</v>
      </c>
      <c r="O17" s="137">
        <f t="shared" si="7"/>
        <v>150000</v>
      </c>
      <c r="P17" s="137">
        <f t="shared" si="7"/>
        <v>150000</v>
      </c>
      <c r="Q17" s="137">
        <f t="shared" si="7"/>
        <v>150000</v>
      </c>
      <c r="R17" s="137">
        <f t="shared" si="7"/>
        <v>225000</v>
      </c>
      <c r="S17" s="137">
        <f t="shared" si="7"/>
        <v>225000</v>
      </c>
      <c r="T17" s="137">
        <f t="shared" si="7"/>
        <v>225000</v>
      </c>
      <c r="U17" s="137">
        <f t="shared" si="7"/>
        <v>300000</v>
      </c>
      <c r="V17" s="137">
        <f t="shared" si="7"/>
        <v>300000</v>
      </c>
      <c r="W17" s="137">
        <f t="shared" si="7"/>
        <v>300000</v>
      </c>
      <c r="X17" s="137">
        <f t="shared" si="7"/>
        <v>375000</v>
      </c>
      <c r="Y17" s="137">
        <f t="shared" si="7"/>
        <v>375000</v>
      </c>
      <c r="Z17" s="137">
        <f t="shared" si="7"/>
        <v>375000</v>
      </c>
      <c r="AA17" s="137">
        <f t="shared" si="7"/>
        <v>450000</v>
      </c>
      <c r="AB17" s="137">
        <f t="shared" si="7"/>
        <v>450000</v>
      </c>
      <c r="AC17" s="137">
        <f t="shared" si="7"/>
        <v>450000</v>
      </c>
      <c r="AD17" s="137">
        <f t="shared" si="7"/>
        <v>525000</v>
      </c>
      <c r="AE17" s="137">
        <f t="shared" si="7"/>
        <v>525000</v>
      </c>
      <c r="AF17" s="137">
        <f t="shared" si="7"/>
        <v>525000</v>
      </c>
      <c r="AG17" s="137">
        <f t="shared" si="7"/>
        <v>600000</v>
      </c>
      <c r="AH17" s="137">
        <f t="shared" si="7"/>
        <v>600000</v>
      </c>
      <c r="AI17" s="137">
        <f t="shared" si="7"/>
        <v>600000</v>
      </c>
      <c r="AJ17" s="137">
        <f t="shared" si="7"/>
        <v>675000</v>
      </c>
      <c r="AK17" s="137">
        <f t="shared" si="7"/>
        <v>675000</v>
      </c>
      <c r="AL17" s="137">
        <f t="shared" si="7"/>
        <v>675000</v>
      </c>
      <c r="AM17" s="137">
        <f t="shared" si="7"/>
        <v>675000</v>
      </c>
      <c r="AN17" s="137">
        <f t="shared" si="7"/>
        <v>675000</v>
      </c>
      <c r="AO17" s="137">
        <f t="shared" si="7"/>
        <v>675000</v>
      </c>
      <c r="AP17" s="137">
        <f t="shared" si="7"/>
        <v>750000</v>
      </c>
      <c r="AQ17" s="137">
        <f t="shared" si="7"/>
        <v>750000</v>
      </c>
      <c r="AR17" s="137">
        <f t="shared" si="7"/>
        <v>750000</v>
      </c>
      <c r="AS17" s="137">
        <f t="shared" ref="AS17:BX17" si="8">AS16*12</f>
        <v>750000</v>
      </c>
      <c r="AT17" s="137">
        <f t="shared" si="8"/>
        <v>750000</v>
      </c>
      <c r="AU17" s="137">
        <f t="shared" si="8"/>
        <v>750000</v>
      </c>
      <c r="AV17" s="137">
        <f t="shared" si="8"/>
        <v>825000</v>
      </c>
      <c r="AW17" s="137">
        <f t="shared" si="8"/>
        <v>825000</v>
      </c>
      <c r="AX17" s="137">
        <f t="shared" si="8"/>
        <v>825000</v>
      </c>
      <c r="AY17" s="137">
        <f t="shared" si="8"/>
        <v>825000</v>
      </c>
      <c r="AZ17" s="137">
        <f t="shared" si="8"/>
        <v>900000</v>
      </c>
      <c r="BA17" s="137">
        <f t="shared" si="8"/>
        <v>900000</v>
      </c>
      <c r="BB17" s="137">
        <f t="shared" si="8"/>
        <v>900000</v>
      </c>
      <c r="BC17" s="137">
        <f t="shared" si="8"/>
        <v>900000</v>
      </c>
      <c r="BD17" s="137">
        <f t="shared" si="8"/>
        <v>975000</v>
      </c>
      <c r="BE17" s="137">
        <f t="shared" si="8"/>
        <v>975000</v>
      </c>
      <c r="BF17" s="137">
        <f t="shared" si="8"/>
        <v>975000</v>
      </c>
      <c r="BG17" s="137">
        <f t="shared" si="8"/>
        <v>975000</v>
      </c>
      <c r="BH17" s="137">
        <f t="shared" si="8"/>
        <v>1050000</v>
      </c>
      <c r="BI17" s="137">
        <f t="shared" si="8"/>
        <v>1050000</v>
      </c>
      <c r="BJ17" s="137">
        <f t="shared" si="8"/>
        <v>1125000</v>
      </c>
      <c r="BK17" s="137">
        <f t="shared" si="8"/>
        <v>1125000</v>
      </c>
      <c r="BL17" s="137">
        <f t="shared" si="8"/>
        <v>1200000</v>
      </c>
      <c r="BM17" s="137">
        <f t="shared" si="8"/>
        <v>1200000</v>
      </c>
      <c r="BN17" s="137">
        <f t="shared" si="8"/>
        <v>1275000</v>
      </c>
      <c r="BO17" s="137">
        <f t="shared" si="8"/>
        <v>1275000</v>
      </c>
      <c r="BP17" s="137">
        <f t="shared" si="8"/>
        <v>1350000</v>
      </c>
      <c r="BQ17" s="137">
        <f t="shared" si="8"/>
        <v>1350000</v>
      </c>
      <c r="BR17" s="137">
        <f t="shared" si="8"/>
        <v>1425000</v>
      </c>
      <c r="BS17" s="137">
        <f t="shared" si="8"/>
        <v>1425000</v>
      </c>
      <c r="BT17" s="137">
        <f t="shared" si="8"/>
        <v>1500000</v>
      </c>
      <c r="BU17" s="35"/>
      <c r="BV17" s="138"/>
      <c r="BW17" s="138"/>
      <c r="BX17" s="138"/>
      <c r="BY17" s="138"/>
      <c r="BZ17" s="138"/>
    </row>
    <row r="18" spans="1:78"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40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</row>
    <row r="19" spans="1:78">
      <c r="AV19" s="138"/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98"/>
  <sheetViews>
    <sheetView showGridLines="0" zoomScale="55" zoomScaleNormal="55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G47" sqref="G47"/>
    </sheetView>
  </sheetViews>
  <sheetFormatPr defaultColWidth="11" defaultRowHeight="15"/>
  <cols>
    <col min="2" max="12" width="4.1796875" customWidth="1"/>
    <col min="13" max="13" width="13" customWidth="1"/>
    <col min="14" max="27" width="12.81640625" customWidth="1"/>
    <col min="28" max="37" width="13" customWidth="1"/>
    <col min="38" max="48" width="13.26953125" customWidth="1"/>
    <col min="49" max="72" width="13.81640625" customWidth="1"/>
    <col min="73" max="73" width="6.453125" customWidth="1"/>
    <col min="74" max="74" width="13" customWidth="1"/>
    <col min="75" max="75" width="14.453125" customWidth="1"/>
    <col min="76" max="77" width="14.7265625" customWidth="1"/>
    <col min="78" max="78" width="14.81640625" customWidth="1"/>
  </cols>
  <sheetData>
    <row r="1" spans="1:78" ht="21" customHeight="1">
      <c r="A1" s="23" t="s">
        <v>114</v>
      </c>
      <c r="B1" s="24"/>
      <c r="C1" s="25"/>
      <c r="D1" s="26"/>
      <c r="E1" s="26"/>
      <c r="F1" s="26"/>
      <c r="G1" s="26"/>
      <c r="H1" s="26"/>
      <c r="I1" s="26"/>
      <c r="J1" s="27"/>
      <c r="K1" s="26"/>
      <c r="L1" s="26"/>
      <c r="M1" s="28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1:78" ht="15.75" customHeight="1">
      <c r="A2" s="30" t="s">
        <v>19</v>
      </c>
      <c r="B2" s="30"/>
      <c r="C2" s="25"/>
      <c r="D2" s="26"/>
      <c r="E2" s="26"/>
      <c r="F2" s="26"/>
      <c r="G2" s="26"/>
      <c r="H2" s="26"/>
      <c r="I2" s="26"/>
      <c r="J2" s="27"/>
      <c r="K2" s="26"/>
      <c r="L2" s="26"/>
      <c r="M2" s="3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26"/>
      <c r="BV2" s="3" t="s">
        <v>21</v>
      </c>
      <c r="BW2" s="3"/>
      <c r="BX2" s="3"/>
      <c r="BY2" s="3"/>
      <c r="BZ2" s="3"/>
    </row>
    <row r="3" spans="1:78" ht="15.6">
      <c r="A3" s="31" t="s">
        <v>22</v>
      </c>
      <c r="B3" s="32"/>
      <c r="C3" s="32"/>
      <c r="D3" s="33"/>
      <c r="E3" s="33"/>
      <c r="F3" s="33"/>
      <c r="G3" s="33"/>
      <c r="H3" s="33"/>
      <c r="I3" s="33"/>
      <c r="J3" s="26"/>
      <c r="K3" s="26"/>
      <c r="L3" s="26"/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f>X3+1</f>
        <v>2</v>
      </c>
      <c r="Z3" s="34">
        <f t="shared" ref="Z3:AJ3" si="0">Y3</f>
        <v>2</v>
      </c>
      <c r="AA3" s="34">
        <f t="shared" si="0"/>
        <v>2</v>
      </c>
      <c r="AB3" s="34">
        <f t="shared" si="0"/>
        <v>2</v>
      </c>
      <c r="AC3" s="34">
        <f t="shared" si="0"/>
        <v>2</v>
      </c>
      <c r="AD3" s="34">
        <f t="shared" si="0"/>
        <v>2</v>
      </c>
      <c r="AE3" s="34">
        <f t="shared" si="0"/>
        <v>2</v>
      </c>
      <c r="AF3" s="34">
        <f t="shared" si="0"/>
        <v>2</v>
      </c>
      <c r="AG3" s="34">
        <f t="shared" si="0"/>
        <v>2</v>
      </c>
      <c r="AH3" s="34">
        <f t="shared" si="0"/>
        <v>2</v>
      </c>
      <c r="AI3" s="34">
        <f t="shared" si="0"/>
        <v>2</v>
      </c>
      <c r="AJ3" s="34">
        <f t="shared" si="0"/>
        <v>2</v>
      </c>
      <c r="AK3" s="34">
        <v>3</v>
      </c>
      <c r="AL3" s="34">
        <v>3</v>
      </c>
      <c r="AM3" s="34">
        <v>3</v>
      </c>
      <c r="AN3" s="34">
        <v>3</v>
      </c>
      <c r="AO3" s="34">
        <v>3</v>
      </c>
      <c r="AP3" s="34">
        <v>3</v>
      </c>
      <c r="AQ3" s="34">
        <v>3</v>
      </c>
      <c r="AR3" s="34">
        <v>3</v>
      </c>
      <c r="AS3" s="34">
        <v>3</v>
      </c>
      <c r="AT3" s="34">
        <v>3</v>
      </c>
      <c r="AU3" s="34">
        <v>3</v>
      </c>
      <c r="AV3" s="34">
        <v>3</v>
      </c>
      <c r="AW3" s="34">
        <v>4</v>
      </c>
      <c r="AX3" s="34">
        <v>4</v>
      </c>
      <c r="AY3" s="34">
        <v>4</v>
      </c>
      <c r="AZ3" s="34">
        <v>4</v>
      </c>
      <c r="BA3" s="34">
        <v>4</v>
      </c>
      <c r="BB3" s="34">
        <v>4</v>
      </c>
      <c r="BC3" s="34">
        <v>4</v>
      </c>
      <c r="BD3" s="34">
        <v>4</v>
      </c>
      <c r="BE3" s="34">
        <v>4</v>
      </c>
      <c r="BF3" s="34">
        <v>4</v>
      </c>
      <c r="BG3" s="34">
        <v>4</v>
      </c>
      <c r="BH3" s="34">
        <v>4</v>
      </c>
      <c r="BI3" s="34">
        <v>5</v>
      </c>
      <c r="BJ3" s="34">
        <v>5</v>
      </c>
      <c r="BK3" s="34">
        <v>5</v>
      </c>
      <c r="BL3" s="34">
        <v>5</v>
      </c>
      <c r="BM3" s="34">
        <v>5</v>
      </c>
      <c r="BN3" s="34">
        <v>5</v>
      </c>
      <c r="BO3" s="34">
        <v>5</v>
      </c>
      <c r="BP3" s="34">
        <v>5</v>
      </c>
      <c r="BQ3" s="34">
        <v>5</v>
      </c>
      <c r="BR3" s="34">
        <v>5</v>
      </c>
      <c r="BS3" s="34">
        <v>5</v>
      </c>
      <c r="BT3" s="34">
        <v>5</v>
      </c>
      <c r="BU3" s="35"/>
      <c r="BV3" s="36">
        <v>1</v>
      </c>
      <c r="BW3" s="36">
        <v>2</v>
      </c>
      <c r="BX3" s="36">
        <v>3</v>
      </c>
      <c r="BY3" s="36">
        <v>4</v>
      </c>
      <c r="BZ3" s="36">
        <v>5</v>
      </c>
    </row>
    <row r="4" spans="1:78" ht="15.6">
      <c r="A4" s="37" t="s">
        <v>23</v>
      </c>
      <c r="B4" s="113"/>
      <c r="C4" s="32"/>
      <c r="D4" s="33"/>
      <c r="E4" s="26"/>
      <c r="F4" s="26"/>
      <c r="G4" s="26"/>
      <c r="H4" s="26"/>
      <c r="I4" s="26"/>
      <c r="J4" s="26"/>
      <c r="K4" s="26"/>
      <c r="L4" s="26"/>
      <c r="M4" s="39">
        <v>1</v>
      </c>
      <c r="N4" s="39">
        <f t="shared" ref="N4:X4" si="1">M4+1</f>
        <v>2</v>
      </c>
      <c r="O4" s="39">
        <f t="shared" si="1"/>
        <v>3</v>
      </c>
      <c r="P4" s="39">
        <f t="shared" si="1"/>
        <v>4</v>
      </c>
      <c r="Q4" s="39">
        <f t="shared" si="1"/>
        <v>5</v>
      </c>
      <c r="R4" s="39">
        <f t="shared" si="1"/>
        <v>6</v>
      </c>
      <c r="S4" s="39">
        <f t="shared" si="1"/>
        <v>7</v>
      </c>
      <c r="T4" s="39">
        <f t="shared" si="1"/>
        <v>8</v>
      </c>
      <c r="U4" s="39">
        <f t="shared" si="1"/>
        <v>9</v>
      </c>
      <c r="V4" s="39">
        <f t="shared" si="1"/>
        <v>10</v>
      </c>
      <c r="W4" s="39">
        <f t="shared" si="1"/>
        <v>11</v>
      </c>
      <c r="X4" s="39">
        <f t="shared" si="1"/>
        <v>12</v>
      </c>
      <c r="Y4" s="39">
        <f>X4+1</f>
        <v>13</v>
      </c>
      <c r="Z4" s="39">
        <f t="shared" ref="Z4:BT4" si="2">Y4+1</f>
        <v>14</v>
      </c>
      <c r="AA4" s="39">
        <f t="shared" si="2"/>
        <v>15</v>
      </c>
      <c r="AB4" s="39">
        <f t="shared" si="2"/>
        <v>16</v>
      </c>
      <c r="AC4" s="39">
        <f t="shared" si="2"/>
        <v>17</v>
      </c>
      <c r="AD4" s="39">
        <f t="shared" si="2"/>
        <v>18</v>
      </c>
      <c r="AE4" s="39">
        <f t="shared" si="2"/>
        <v>19</v>
      </c>
      <c r="AF4" s="39">
        <f t="shared" si="2"/>
        <v>20</v>
      </c>
      <c r="AG4" s="39">
        <f t="shared" si="2"/>
        <v>21</v>
      </c>
      <c r="AH4" s="39">
        <f t="shared" si="2"/>
        <v>22</v>
      </c>
      <c r="AI4" s="39">
        <f t="shared" si="2"/>
        <v>23</v>
      </c>
      <c r="AJ4" s="39">
        <f t="shared" si="2"/>
        <v>24</v>
      </c>
      <c r="AK4" s="39">
        <f t="shared" si="2"/>
        <v>25</v>
      </c>
      <c r="AL4" s="39">
        <f t="shared" si="2"/>
        <v>26</v>
      </c>
      <c r="AM4" s="39">
        <f t="shared" si="2"/>
        <v>27</v>
      </c>
      <c r="AN4" s="39">
        <f t="shared" si="2"/>
        <v>28</v>
      </c>
      <c r="AO4" s="39">
        <f t="shared" si="2"/>
        <v>29</v>
      </c>
      <c r="AP4" s="39">
        <f t="shared" si="2"/>
        <v>30</v>
      </c>
      <c r="AQ4" s="39">
        <f t="shared" si="2"/>
        <v>31</v>
      </c>
      <c r="AR4" s="39">
        <f t="shared" si="2"/>
        <v>32</v>
      </c>
      <c r="AS4" s="39">
        <f t="shared" si="2"/>
        <v>33</v>
      </c>
      <c r="AT4" s="39">
        <f t="shared" si="2"/>
        <v>34</v>
      </c>
      <c r="AU4" s="39">
        <f t="shared" si="2"/>
        <v>35</v>
      </c>
      <c r="AV4" s="39">
        <f t="shared" si="2"/>
        <v>36</v>
      </c>
      <c r="AW4" s="39">
        <f t="shared" si="2"/>
        <v>37</v>
      </c>
      <c r="AX4" s="39">
        <f t="shared" si="2"/>
        <v>38</v>
      </c>
      <c r="AY4" s="39">
        <f t="shared" si="2"/>
        <v>39</v>
      </c>
      <c r="AZ4" s="39">
        <f t="shared" si="2"/>
        <v>40</v>
      </c>
      <c r="BA4" s="39">
        <f t="shared" si="2"/>
        <v>41</v>
      </c>
      <c r="BB4" s="39">
        <f t="shared" si="2"/>
        <v>42</v>
      </c>
      <c r="BC4" s="39">
        <f t="shared" si="2"/>
        <v>43</v>
      </c>
      <c r="BD4" s="39">
        <f t="shared" si="2"/>
        <v>44</v>
      </c>
      <c r="BE4" s="39">
        <f t="shared" si="2"/>
        <v>45</v>
      </c>
      <c r="BF4" s="39">
        <f t="shared" si="2"/>
        <v>46</v>
      </c>
      <c r="BG4" s="39">
        <f t="shared" si="2"/>
        <v>47</v>
      </c>
      <c r="BH4" s="39">
        <f t="shared" si="2"/>
        <v>48</v>
      </c>
      <c r="BI4" s="39">
        <f t="shared" si="2"/>
        <v>49</v>
      </c>
      <c r="BJ4" s="39">
        <f t="shared" si="2"/>
        <v>50</v>
      </c>
      <c r="BK4" s="39">
        <f t="shared" si="2"/>
        <v>51</v>
      </c>
      <c r="BL4" s="39">
        <f t="shared" si="2"/>
        <v>52</v>
      </c>
      <c r="BM4" s="39">
        <f t="shared" si="2"/>
        <v>53</v>
      </c>
      <c r="BN4" s="39">
        <f t="shared" si="2"/>
        <v>54</v>
      </c>
      <c r="BO4" s="39">
        <f t="shared" si="2"/>
        <v>55</v>
      </c>
      <c r="BP4" s="39">
        <f t="shared" si="2"/>
        <v>56</v>
      </c>
      <c r="BQ4" s="39">
        <f t="shared" si="2"/>
        <v>57</v>
      </c>
      <c r="BR4" s="39">
        <f t="shared" si="2"/>
        <v>58</v>
      </c>
      <c r="BS4" s="39">
        <f t="shared" si="2"/>
        <v>59</v>
      </c>
      <c r="BT4" s="39">
        <f t="shared" si="2"/>
        <v>60</v>
      </c>
      <c r="BU4" s="40"/>
      <c r="BV4" s="39">
        <v>12</v>
      </c>
      <c r="BW4" s="39">
        <v>24</v>
      </c>
      <c r="BX4" s="39">
        <v>36</v>
      </c>
      <c r="BY4" s="39">
        <v>48</v>
      </c>
      <c r="BZ4" s="39">
        <v>60</v>
      </c>
    </row>
    <row r="5" spans="1:78" ht="15.6">
      <c r="A5" s="141" t="str">
        <f>Assumptions!A17</f>
        <v>Direct Cost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</row>
    <row r="6" spans="1:78" ht="15.6">
      <c r="A6" s="142" t="str">
        <f>Assumptions!A18</f>
        <v>Hosting &amp; Infrastructure Costs</v>
      </c>
      <c r="M6" s="137">
        <f t="shared" ref="M6:AR6" si="3">SUM(M7:M7)</f>
        <v>375</v>
      </c>
      <c r="N6" s="137">
        <f t="shared" si="3"/>
        <v>375</v>
      </c>
      <c r="O6" s="137">
        <f t="shared" si="3"/>
        <v>750</v>
      </c>
      <c r="P6" s="137">
        <f t="shared" si="3"/>
        <v>750</v>
      </c>
      <c r="Q6" s="137">
        <f t="shared" si="3"/>
        <v>750</v>
      </c>
      <c r="R6" s="137">
        <f t="shared" si="3"/>
        <v>1125</v>
      </c>
      <c r="S6" s="137">
        <f t="shared" si="3"/>
        <v>1125</v>
      </c>
      <c r="T6" s="137">
        <f t="shared" si="3"/>
        <v>1125</v>
      </c>
      <c r="U6" s="137">
        <f t="shared" si="3"/>
        <v>1500</v>
      </c>
      <c r="V6" s="137">
        <f t="shared" si="3"/>
        <v>1500</v>
      </c>
      <c r="W6" s="137">
        <f t="shared" si="3"/>
        <v>1500</v>
      </c>
      <c r="X6" s="137">
        <f t="shared" si="3"/>
        <v>1875</v>
      </c>
      <c r="Y6" s="137">
        <f t="shared" si="3"/>
        <v>1875</v>
      </c>
      <c r="Z6" s="137">
        <f t="shared" si="3"/>
        <v>1875</v>
      </c>
      <c r="AA6" s="137">
        <f t="shared" si="3"/>
        <v>2250</v>
      </c>
      <c r="AB6" s="137">
        <f t="shared" si="3"/>
        <v>2250</v>
      </c>
      <c r="AC6" s="137">
        <f t="shared" si="3"/>
        <v>2250</v>
      </c>
      <c r="AD6" s="137">
        <f t="shared" si="3"/>
        <v>2625</v>
      </c>
      <c r="AE6" s="137">
        <f t="shared" si="3"/>
        <v>2625</v>
      </c>
      <c r="AF6" s="137">
        <f t="shared" si="3"/>
        <v>2625</v>
      </c>
      <c r="AG6" s="137">
        <f t="shared" si="3"/>
        <v>3000</v>
      </c>
      <c r="AH6" s="137">
        <f t="shared" si="3"/>
        <v>3000</v>
      </c>
      <c r="AI6" s="137">
        <f t="shared" si="3"/>
        <v>3000</v>
      </c>
      <c r="AJ6" s="137">
        <f t="shared" si="3"/>
        <v>3375</v>
      </c>
      <c r="AK6" s="137">
        <f t="shared" si="3"/>
        <v>3375</v>
      </c>
      <c r="AL6" s="137">
        <f t="shared" si="3"/>
        <v>3375</v>
      </c>
      <c r="AM6" s="137">
        <f t="shared" si="3"/>
        <v>3375</v>
      </c>
      <c r="AN6" s="137">
        <f t="shared" si="3"/>
        <v>3375</v>
      </c>
      <c r="AO6" s="137">
        <f t="shared" si="3"/>
        <v>3375</v>
      </c>
      <c r="AP6" s="137">
        <f t="shared" si="3"/>
        <v>3750</v>
      </c>
      <c r="AQ6" s="137">
        <f t="shared" si="3"/>
        <v>3750</v>
      </c>
      <c r="AR6" s="137">
        <f t="shared" si="3"/>
        <v>3750</v>
      </c>
      <c r="AS6" s="137">
        <f t="shared" ref="AS6:BX6" si="4">SUM(AS7:AS7)</f>
        <v>3750</v>
      </c>
      <c r="AT6" s="137">
        <f t="shared" si="4"/>
        <v>3750</v>
      </c>
      <c r="AU6" s="137">
        <f t="shared" si="4"/>
        <v>3750</v>
      </c>
      <c r="AV6" s="137">
        <f t="shared" si="4"/>
        <v>4125</v>
      </c>
      <c r="AW6" s="137">
        <f t="shared" si="4"/>
        <v>4125</v>
      </c>
      <c r="AX6" s="137">
        <f t="shared" si="4"/>
        <v>4125</v>
      </c>
      <c r="AY6" s="137">
        <f t="shared" si="4"/>
        <v>4125</v>
      </c>
      <c r="AZ6" s="137">
        <f t="shared" si="4"/>
        <v>4500</v>
      </c>
      <c r="BA6" s="137">
        <f t="shared" si="4"/>
        <v>4500</v>
      </c>
      <c r="BB6" s="137">
        <f t="shared" si="4"/>
        <v>4500</v>
      </c>
      <c r="BC6" s="137">
        <f t="shared" si="4"/>
        <v>4500</v>
      </c>
      <c r="BD6" s="137">
        <f t="shared" si="4"/>
        <v>4875</v>
      </c>
      <c r="BE6" s="137">
        <f t="shared" si="4"/>
        <v>4875</v>
      </c>
      <c r="BF6" s="137">
        <f t="shared" si="4"/>
        <v>4875</v>
      </c>
      <c r="BG6" s="137">
        <f t="shared" si="4"/>
        <v>4875</v>
      </c>
      <c r="BH6" s="137">
        <f t="shared" si="4"/>
        <v>5250</v>
      </c>
      <c r="BI6" s="137">
        <f t="shared" si="4"/>
        <v>5250</v>
      </c>
      <c r="BJ6" s="137">
        <f t="shared" si="4"/>
        <v>5625</v>
      </c>
      <c r="BK6" s="137">
        <f t="shared" si="4"/>
        <v>5625</v>
      </c>
      <c r="BL6" s="137">
        <f t="shared" si="4"/>
        <v>6000</v>
      </c>
      <c r="BM6" s="137">
        <f t="shared" si="4"/>
        <v>6000</v>
      </c>
      <c r="BN6" s="137">
        <f t="shared" si="4"/>
        <v>6375</v>
      </c>
      <c r="BO6" s="137">
        <f t="shared" si="4"/>
        <v>6375</v>
      </c>
      <c r="BP6" s="137">
        <f t="shared" si="4"/>
        <v>6750</v>
      </c>
      <c r="BQ6" s="137">
        <f t="shared" si="4"/>
        <v>6750</v>
      </c>
      <c r="BR6" s="137">
        <f t="shared" si="4"/>
        <v>7125</v>
      </c>
      <c r="BS6" s="137">
        <f t="shared" si="4"/>
        <v>7125</v>
      </c>
      <c r="BT6" s="137">
        <f t="shared" si="4"/>
        <v>7500</v>
      </c>
      <c r="BU6" s="35"/>
      <c r="BV6" s="143">
        <f t="shared" ref="BV6:BZ7" si="5">SUMIF($M$3:$BT$3,BV$3,$M6:$BT6)</f>
        <v>12750</v>
      </c>
      <c r="BW6" s="143">
        <f t="shared" si="5"/>
        <v>30750</v>
      </c>
      <c r="BX6" s="143">
        <f t="shared" si="5"/>
        <v>43500</v>
      </c>
      <c r="BY6" s="143">
        <f t="shared" si="5"/>
        <v>55125</v>
      </c>
      <c r="BZ6" s="143">
        <f t="shared" si="5"/>
        <v>76500</v>
      </c>
    </row>
    <row r="7" spans="1:78">
      <c r="A7" s="144" t="str">
        <f>Assumptions!A19</f>
        <v>Hosting &amp; Infrastructure Costs</v>
      </c>
      <c r="M7" s="135">
        <f>'Revenue Buildup'!M16*Assumptions!M19</f>
        <v>375</v>
      </c>
      <c r="N7" s="135">
        <f>'Revenue Buildup'!N16*Assumptions!N19</f>
        <v>375</v>
      </c>
      <c r="O7" s="135">
        <f>'Revenue Buildup'!O16*Assumptions!O19</f>
        <v>750</v>
      </c>
      <c r="P7" s="135">
        <f>'Revenue Buildup'!P16*Assumptions!P19</f>
        <v>750</v>
      </c>
      <c r="Q7" s="135">
        <f>'Revenue Buildup'!Q16*Assumptions!Q19</f>
        <v>750</v>
      </c>
      <c r="R7" s="135">
        <f>'Revenue Buildup'!R16*Assumptions!R19</f>
        <v>1125</v>
      </c>
      <c r="S7" s="135">
        <f>'Revenue Buildup'!S16*Assumptions!S19</f>
        <v>1125</v>
      </c>
      <c r="T7" s="135">
        <f>'Revenue Buildup'!T16*Assumptions!T19</f>
        <v>1125</v>
      </c>
      <c r="U7" s="135">
        <f>'Revenue Buildup'!U16*Assumptions!U19</f>
        <v>1500</v>
      </c>
      <c r="V7" s="135">
        <f>'Revenue Buildup'!V16*Assumptions!V19</f>
        <v>1500</v>
      </c>
      <c r="W7" s="135">
        <f>'Revenue Buildup'!W16*Assumptions!W19</f>
        <v>1500</v>
      </c>
      <c r="X7" s="135">
        <f>'Revenue Buildup'!X16*Assumptions!X19</f>
        <v>1875</v>
      </c>
      <c r="Y7" s="135">
        <f>'Revenue Buildup'!Y16*Assumptions!Y19</f>
        <v>1875</v>
      </c>
      <c r="Z7" s="135">
        <f>'Revenue Buildup'!Z16*Assumptions!Z19</f>
        <v>1875</v>
      </c>
      <c r="AA7" s="135">
        <f>'Revenue Buildup'!AA16*Assumptions!AA19</f>
        <v>2250</v>
      </c>
      <c r="AB7" s="135">
        <f>'Revenue Buildup'!AB16*Assumptions!AB19</f>
        <v>2250</v>
      </c>
      <c r="AC7" s="135">
        <f>'Revenue Buildup'!AC16*Assumptions!AC19</f>
        <v>2250</v>
      </c>
      <c r="AD7" s="135">
        <f>'Revenue Buildup'!AD16*Assumptions!AD19</f>
        <v>2625</v>
      </c>
      <c r="AE7" s="135">
        <f>'Revenue Buildup'!AE16*Assumptions!AE19</f>
        <v>2625</v>
      </c>
      <c r="AF7" s="135">
        <f>'Revenue Buildup'!AF16*Assumptions!AF19</f>
        <v>2625</v>
      </c>
      <c r="AG7" s="135">
        <f>'Revenue Buildup'!AG16*Assumptions!AG19</f>
        <v>3000</v>
      </c>
      <c r="AH7" s="135">
        <f>'Revenue Buildup'!AH16*Assumptions!AH19</f>
        <v>3000</v>
      </c>
      <c r="AI7" s="135">
        <f>'Revenue Buildup'!AI16*Assumptions!AI19</f>
        <v>3000</v>
      </c>
      <c r="AJ7" s="135">
        <f>'Revenue Buildup'!AJ16*Assumptions!AJ19</f>
        <v>3375</v>
      </c>
      <c r="AK7" s="135">
        <f>'Revenue Buildup'!AK16*Assumptions!AK19</f>
        <v>3375</v>
      </c>
      <c r="AL7" s="135">
        <f>'Revenue Buildup'!AL16*Assumptions!AL19</f>
        <v>3375</v>
      </c>
      <c r="AM7" s="135">
        <f>'Revenue Buildup'!AM16*Assumptions!AM19</f>
        <v>3375</v>
      </c>
      <c r="AN7" s="135">
        <f>'Revenue Buildup'!AN16*Assumptions!AN19</f>
        <v>3375</v>
      </c>
      <c r="AO7" s="135">
        <f>'Revenue Buildup'!AO16*Assumptions!AO19</f>
        <v>3375</v>
      </c>
      <c r="AP7" s="135">
        <f>'Revenue Buildup'!AP16*Assumptions!AP19</f>
        <v>3750</v>
      </c>
      <c r="AQ7" s="135">
        <f>'Revenue Buildup'!AQ16*Assumptions!AQ19</f>
        <v>3750</v>
      </c>
      <c r="AR7" s="135">
        <f>'Revenue Buildup'!AR16*Assumptions!AR19</f>
        <v>3750</v>
      </c>
      <c r="AS7" s="135">
        <f>'Revenue Buildup'!AS16*Assumptions!AS19</f>
        <v>3750</v>
      </c>
      <c r="AT7" s="135">
        <f>'Revenue Buildup'!AT16*Assumptions!AT19</f>
        <v>3750</v>
      </c>
      <c r="AU7" s="135">
        <f>'Revenue Buildup'!AU16*Assumptions!AU19</f>
        <v>3750</v>
      </c>
      <c r="AV7" s="135">
        <f>'Revenue Buildup'!AV16*Assumptions!AV19</f>
        <v>4125</v>
      </c>
      <c r="AW7" s="135">
        <f>'Revenue Buildup'!AW16*Assumptions!AW19</f>
        <v>4125</v>
      </c>
      <c r="AX7" s="135">
        <f>'Revenue Buildup'!AX16*Assumptions!AX19</f>
        <v>4125</v>
      </c>
      <c r="AY7" s="135">
        <f>'Revenue Buildup'!AY16*Assumptions!AY19</f>
        <v>4125</v>
      </c>
      <c r="AZ7" s="135">
        <f>'Revenue Buildup'!AZ16*Assumptions!AZ19</f>
        <v>4500</v>
      </c>
      <c r="BA7" s="135">
        <f>'Revenue Buildup'!BA16*Assumptions!BA19</f>
        <v>4500</v>
      </c>
      <c r="BB7" s="135">
        <f>'Revenue Buildup'!BB16*Assumptions!BB19</f>
        <v>4500</v>
      </c>
      <c r="BC7" s="135">
        <f>'Revenue Buildup'!BC16*Assumptions!BC19</f>
        <v>4500</v>
      </c>
      <c r="BD7" s="135">
        <f>'Revenue Buildup'!BD16*Assumptions!BD19</f>
        <v>4875</v>
      </c>
      <c r="BE7" s="135">
        <f>'Revenue Buildup'!BE16*Assumptions!BE19</f>
        <v>4875</v>
      </c>
      <c r="BF7" s="135">
        <f>'Revenue Buildup'!BF16*Assumptions!BF19</f>
        <v>4875</v>
      </c>
      <c r="BG7" s="135">
        <f>'Revenue Buildup'!BG16*Assumptions!BG19</f>
        <v>4875</v>
      </c>
      <c r="BH7" s="135">
        <f>'Revenue Buildup'!BH16*Assumptions!BH19</f>
        <v>5250</v>
      </c>
      <c r="BI7" s="135">
        <f>'Revenue Buildup'!BI16*Assumptions!BI19</f>
        <v>5250</v>
      </c>
      <c r="BJ7" s="135">
        <f>'Revenue Buildup'!BJ16*Assumptions!BJ19</f>
        <v>5625</v>
      </c>
      <c r="BK7" s="135">
        <f>'Revenue Buildup'!BK16*Assumptions!BK19</f>
        <v>5625</v>
      </c>
      <c r="BL7" s="135">
        <f>'Revenue Buildup'!BL16*Assumptions!BL19</f>
        <v>6000</v>
      </c>
      <c r="BM7" s="135">
        <f>'Revenue Buildup'!BM16*Assumptions!BM19</f>
        <v>6000</v>
      </c>
      <c r="BN7" s="135">
        <f>'Revenue Buildup'!BN16*Assumptions!BN19</f>
        <v>6375</v>
      </c>
      <c r="BO7" s="135">
        <f>'Revenue Buildup'!BO16*Assumptions!BO19</f>
        <v>6375</v>
      </c>
      <c r="BP7" s="135">
        <f>'Revenue Buildup'!BP16*Assumptions!BP19</f>
        <v>6750</v>
      </c>
      <c r="BQ7" s="135">
        <f>'Revenue Buildup'!BQ16*Assumptions!BQ19</f>
        <v>6750</v>
      </c>
      <c r="BR7" s="135">
        <f>'Revenue Buildup'!BR16*Assumptions!BR19</f>
        <v>7125</v>
      </c>
      <c r="BS7" s="135">
        <f>'Revenue Buildup'!BS16*Assumptions!BS19</f>
        <v>7125</v>
      </c>
      <c r="BT7" s="135">
        <f>'Revenue Buildup'!BT16*Assumptions!BT19</f>
        <v>7500</v>
      </c>
      <c r="BU7" s="35"/>
      <c r="BV7" s="145">
        <f t="shared" si="5"/>
        <v>12750</v>
      </c>
      <c r="BW7" s="145">
        <f t="shared" si="5"/>
        <v>30750</v>
      </c>
      <c r="BX7" s="145">
        <f t="shared" si="5"/>
        <v>43500</v>
      </c>
      <c r="BY7" s="145">
        <f t="shared" si="5"/>
        <v>55125</v>
      </c>
      <c r="BZ7" s="145">
        <f t="shared" si="5"/>
        <v>76500</v>
      </c>
    </row>
    <row r="8" spans="1:78" ht="15.6">
      <c r="A8" s="142" t="str">
        <f>Assumptions!A22</f>
        <v>Headcount</v>
      </c>
      <c r="BU8" s="35"/>
    </row>
    <row r="9" spans="1:78" ht="15.6">
      <c r="A9" s="146" t="str">
        <f>Assumptions!A23</f>
        <v>Customer Support</v>
      </c>
      <c r="B9" s="87"/>
      <c r="C9" s="87" t="s">
        <v>115</v>
      </c>
      <c r="D9" s="87"/>
      <c r="E9" s="87"/>
      <c r="F9" s="147" t="str">
        <f>Assumptions!F23</f>
        <v>Customer support/Account</v>
      </c>
      <c r="G9" s="148">
        <f>Assumptions!G23</f>
        <v>5</v>
      </c>
      <c r="H9" s="148">
        <f>Assumptions!H23</f>
        <v>5</v>
      </c>
      <c r="I9" s="87"/>
      <c r="J9" s="87"/>
      <c r="K9" s="87"/>
      <c r="L9" s="87"/>
      <c r="M9" s="149">
        <f>Assumptions!M23</f>
        <v>5</v>
      </c>
      <c r="N9" s="149">
        <f>Assumptions!N23</f>
        <v>5</v>
      </c>
      <c r="O9" s="149">
        <f>Assumptions!O23</f>
        <v>5</v>
      </c>
      <c r="P9" s="149">
        <f>Assumptions!P23</f>
        <v>5</v>
      </c>
      <c r="Q9" s="149">
        <f>Assumptions!Q23</f>
        <v>5</v>
      </c>
      <c r="R9" s="149">
        <f>Assumptions!R23</f>
        <v>5</v>
      </c>
      <c r="S9" s="149">
        <f>Assumptions!S23</f>
        <v>5</v>
      </c>
      <c r="T9" s="149">
        <f>Assumptions!T23</f>
        <v>5</v>
      </c>
      <c r="U9" s="149">
        <f>Assumptions!U23</f>
        <v>5</v>
      </c>
      <c r="V9" s="149">
        <f>Assumptions!V23</f>
        <v>5</v>
      </c>
      <c r="W9" s="149">
        <f>Assumptions!W23</f>
        <v>5</v>
      </c>
      <c r="X9" s="149">
        <f>Assumptions!X23</f>
        <v>5</v>
      </c>
      <c r="Y9" s="149">
        <f>Assumptions!Y23</f>
        <v>5</v>
      </c>
      <c r="Z9" s="149">
        <f>Assumptions!Z23</f>
        <v>5</v>
      </c>
      <c r="AA9" s="149">
        <f>Assumptions!AA23</f>
        <v>5</v>
      </c>
      <c r="AB9" s="149">
        <f>Assumptions!AB23</f>
        <v>5</v>
      </c>
      <c r="AC9" s="149">
        <f>Assumptions!AC23</f>
        <v>5</v>
      </c>
      <c r="AD9" s="149">
        <f>Assumptions!AD23</f>
        <v>5</v>
      </c>
      <c r="AE9" s="149">
        <f>Assumptions!AE23</f>
        <v>5</v>
      </c>
      <c r="AF9" s="149">
        <f>Assumptions!AF23</f>
        <v>5</v>
      </c>
      <c r="AG9" s="149">
        <f>Assumptions!AG23</f>
        <v>5</v>
      </c>
      <c r="AH9" s="149">
        <f>Assumptions!AH23</f>
        <v>5</v>
      </c>
      <c r="AI9" s="149">
        <f>Assumptions!AI23</f>
        <v>5</v>
      </c>
      <c r="AJ9" s="149">
        <f>Assumptions!AJ23</f>
        <v>5</v>
      </c>
      <c r="AK9" s="149">
        <f>Assumptions!AK23</f>
        <v>5</v>
      </c>
      <c r="AL9" s="149">
        <f>Assumptions!AL23</f>
        <v>5</v>
      </c>
      <c r="AM9" s="149">
        <f>Assumptions!AM23</f>
        <v>5</v>
      </c>
      <c r="AN9" s="149">
        <f>Assumptions!AN23</f>
        <v>5</v>
      </c>
      <c r="AO9" s="149">
        <f>Assumptions!AO23</f>
        <v>5</v>
      </c>
      <c r="AP9" s="149">
        <f>Assumptions!AP23</f>
        <v>5</v>
      </c>
      <c r="AQ9" s="149">
        <f>Assumptions!AQ23</f>
        <v>5</v>
      </c>
      <c r="AR9" s="149">
        <f>Assumptions!AR23</f>
        <v>5</v>
      </c>
      <c r="AS9" s="149">
        <f>Assumptions!AS23</f>
        <v>5</v>
      </c>
      <c r="AT9" s="149">
        <f>Assumptions!AT23</f>
        <v>5</v>
      </c>
      <c r="AU9" s="149">
        <f>Assumptions!AU23</f>
        <v>5</v>
      </c>
      <c r="AV9" s="149">
        <f>Assumptions!AV23</f>
        <v>5</v>
      </c>
      <c r="AW9" s="149">
        <f>Assumptions!AW23</f>
        <v>5</v>
      </c>
      <c r="AX9" s="149">
        <f>Assumptions!AX23</f>
        <v>5</v>
      </c>
      <c r="AY9" s="149">
        <f>Assumptions!AY23</f>
        <v>5</v>
      </c>
      <c r="AZ9" s="149">
        <f>Assumptions!AZ23</f>
        <v>5</v>
      </c>
      <c r="BA9" s="149">
        <f>Assumptions!BA23</f>
        <v>5</v>
      </c>
      <c r="BB9" s="149">
        <f>Assumptions!BB23</f>
        <v>5</v>
      </c>
      <c r="BC9" s="149">
        <f>Assumptions!BC23</f>
        <v>5</v>
      </c>
      <c r="BD9" s="149">
        <f>Assumptions!BD23</f>
        <v>5</v>
      </c>
      <c r="BE9" s="149">
        <f>Assumptions!BE23</f>
        <v>5</v>
      </c>
      <c r="BF9" s="149">
        <f>Assumptions!BF23</f>
        <v>5</v>
      </c>
      <c r="BG9" s="149">
        <f>Assumptions!BG23</f>
        <v>5</v>
      </c>
      <c r="BH9" s="149">
        <f>Assumptions!BH23</f>
        <v>5</v>
      </c>
      <c r="BI9" s="149">
        <f>Assumptions!BI23</f>
        <v>5</v>
      </c>
      <c r="BJ9" s="149">
        <f>Assumptions!BJ23</f>
        <v>5</v>
      </c>
      <c r="BK9" s="149">
        <f>Assumptions!BK23</f>
        <v>5</v>
      </c>
      <c r="BL9" s="149">
        <f>Assumptions!BL23</f>
        <v>5</v>
      </c>
      <c r="BM9" s="149">
        <f>Assumptions!BM23</f>
        <v>5</v>
      </c>
      <c r="BN9" s="149">
        <f>Assumptions!BN23</f>
        <v>5</v>
      </c>
      <c r="BO9" s="149">
        <f>Assumptions!BO23</f>
        <v>5</v>
      </c>
      <c r="BP9" s="149">
        <f>Assumptions!BP23</f>
        <v>5</v>
      </c>
      <c r="BQ9" s="149">
        <f>Assumptions!BQ23</f>
        <v>5</v>
      </c>
      <c r="BR9" s="149">
        <f>Assumptions!BR23</f>
        <v>5</v>
      </c>
      <c r="BS9" s="149">
        <f>Assumptions!BS23</f>
        <v>5</v>
      </c>
      <c r="BT9" s="149">
        <f>Assumptions!BT23</f>
        <v>5</v>
      </c>
      <c r="BU9" s="35"/>
    </row>
    <row r="10" spans="1:78" ht="15.6">
      <c r="A10" s="87" t="s">
        <v>46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150">
        <f>ROUND('Revenue Buildup'!M11/Assumptions!M23,0)</f>
        <v>0</v>
      </c>
      <c r="N10" s="150">
        <f>ROUND('Revenue Buildup'!N11/Assumptions!N23,0)</f>
        <v>0</v>
      </c>
      <c r="O10" s="150">
        <f>ROUND('Revenue Buildup'!O11/Assumptions!O23,0)</f>
        <v>0</v>
      </c>
      <c r="P10" s="150">
        <f>ROUND('Revenue Buildup'!P11/Assumptions!P23,0)</f>
        <v>0</v>
      </c>
      <c r="Q10" s="150">
        <f>ROUND('Revenue Buildup'!Q11/Assumptions!Q23,0)</f>
        <v>0</v>
      </c>
      <c r="R10" s="150">
        <f>ROUND('Revenue Buildup'!R11/Assumptions!R23,0)</f>
        <v>1</v>
      </c>
      <c r="S10" s="150">
        <f>ROUND('Revenue Buildup'!S11/Assumptions!S23,0)</f>
        <v>1</v>
      </c>
      <c r="T10" s="150">
        <f>ROUND('Revenue Buildup'!T11/Assumptions!T23,0)</f>
        <v>1</v>
      </c>
      <c r="U10" s="150">
        <f>ROUND('Revenue Buildup'!U11/Assumptions!U23,0)</f>
        <v>1</v>
      </c>
      <c r="V10" s="150">
        <f>ROUND('Revenue Buildup'!V11/Assumptions!V23,0)</f>
        <v>1</v>
      </c>
      <c r="W10" s="150">
        <f>ROUND('Revenue Buildup'!W11/Assumptions!W23,0)</f>
        <v>1</v>
      </c>
      <c r="X10" s="150">
        <f>ROUND('Revenue Buildup'!X11/Assumptions!X23,0)</f>
        <v>1</v>
      </c>
      <c r="Y10" s="150">
        <f>ROUND('Revenue Buildup'!Y11/Assumptions!Y23,0)</f>
        <v>1</v>
      </c>
      <c r="Z10" s="150">
        <f>ROUND('Revenue Buildup'!Z11/Assumptions!Z23,0)</f>
        <v>1</v>
      </c>
      <c r="AA10" s="150">
        <f>ROUND('Revenue Buildup'!AA11/Assumptions!AA23,0)</f>
        <v>1</v>
      </c>
      <c r="AB10" s="150">
        <f>ROUND('Revenue Buildup'!AB11/Assumptions!AB23,0)</f>
        <v>1</v>
      </c>
      <c r="AC10" s="150">
        <f>ROUND('Revenue Buildup'!AC11/Assumptions!AC23,0)</f>
        <v>1</v>
      </c>
      <c r="AD10" s="150">
        <f>ROUND('Revenue Buildup'!AD11/Assumptions!AD23,0)</f>
        <v>1</v>
      </c>
      <c r="AE10" s="150">
        <f>ROUND('Revenue Buildup'!AE11/Assumptions!AE23,0)</f>
        <v>1</v>
      </c>
      <c r="AF10" s="150">
        <f>ROUND('Revenue Buildup'!AF11/Assumptions!AF23,0)</f>
        <v>1</v>
      </c>
      <c r="AG10" s="150">
        <f>ROUND('Revenue Buildup'!AG11/Assumptions!AG23,0)</f>
        <v>2</v>
      </c>
      <c r="AH10" s="150">
        <f>ROUND('Revenue Buildup'!AH11/Assumptions!AH23,0)</f>
        <v>2</v>
      </c>
      <c r="AI10" s="150">
        <f>ROUND('Revenue Buildup'!AI11/Assumptions!AI23,0)</f>
        <v>2</v>
      </c>
      <c r="AJ10" s="150">
        <f>ROUND('Revenue Buildup'!AJ11/Assumptions!AJ23,0)</f>
        <v>2</v>
      </c>
      <c r="AK10" s="150">
        <f>ROUND('Revenue Buildup'!AK11/Assumptions!AK23,0)</f>
        <v>2</v>
      </c>
      <c r="AL10" s="150">
        <f>ROUND('Revenue Buildup'!AL11/Assumptions!AL23,0)</f>
        <v>2</v>
      </c>
      <c r="AM10" s="150">
        <f>ROUND('Revenue Buildup'!AM11/Assumptions!AM23,0)</f>
        <v>2</v>
      </c>
      <c r="AN10" s="150">
        <f>ROUND('Revenue Buildup'!AN11/Assumptions!AN23,0)</f>
        <v>2</v>
      </c>
      <c r="AO10" s="150">
        <f>ROUND('Revenue Buildup'!AO11/Assumptions!AO23,0)</f>
        <v>2</v>
      </c>
      <c r="AP10" s="150">
        <f>ROUND('Revenue Buildup'!AP11/Assumptions!AP23,0)</f>
        <v>2</v>
      </c>
      <c r="AQ10" s="150">
        <f>ROUND('Revenue Buildup'!AQ11/Assumptions!AQ23,0)</f>
        <v>2</v>
      </c>
      <c r="AR10" s="150">
        <f>ROUND('Revenue Buildup'!AR11/Assumptions!AR23,0)</f>
        <v>2</v>
      </c>
      <c r="AS10" s="150">
        <f>ROUND('Revenue Buildup'!AS11/Assumptions!AS23,0)</f>
        <v>2</v>
      </c>
      <c r="AT10" s="150">
        <f>ROUND('Revenue Buildup'!AT11/Assumptions!AT23,0)</f>
        <v>2</v>
      </c>
      <c r="AU10" s="150">
        <f>ROUND('Revenue Buildup'!AU11/Assumptions!AU23,0)</f>
        <v>2</v>
      </c>
      <c r="AV10" s="150">
        <f>ROUND('Revenue Buildup'!AV11/Assumptions!AV23,0)</f>
        <v>2</v>
      </c>
      <c r="AW10" s="150">
        <f>ROUND('Revenue Buildup'!AW11/Assumptions!AW23,0)</f>
        <v>2</v>
      </c>
      <c r="AX10" s="150">
        <f>ROUND('Revenue Buildup'!AX11/Assumptions!AX23,0)</f>
        <v>2</v>
      </c>
      <c r="AY10" s="150">
        <f>ROUND('Revenue Buildup'!AY11/Assumptions!AY23,0)</f>
        <v>2</v>
      </c>
      <c r="AZ10" s="150">
        <f>ROUND('Revenue Buildup'!AZ11/Assumptions!AZ23,0)</f>
        <v>2</v>
      </c>
      <c r="BA10" s="150">
        <f>ROUND('Revenue Buildup'!BA11/Assumptions!BA23,0)</f>
        <v>2</v>
      </c>
      <c r="BB10" s="150">
        <f>ROUND('Revenue Buildup'!BB11/Assumptions!BB23,0)</f>
        <v>2</v>
      </c>
      <c r="BC10" s="150">
        <f>ROUND('Revenue Buildup'!BC11/Assumptions!BC23,0)</f>
        <v>2</v>
      </c>
      <c r="BD10" s="150">
        <f>ROUND('Revenue Buildup'!BD11/Assumptions!BD23,0)</f>
        <v>3</v>
      </c>
      <c r="BE10" s="150">
        <f>ROUND('Revenue Buildup'!BE11/Assumptions!BE23,0)</f>
        <v>3</v>
      </c>
      <c r="BF10" s="150">
        <f>ROUND('Revenue Buildup'!BF11/Assumptions!BF23,0)</f>
        <v>3</v>
      </c>
      <c r="BG10" s="150">
        <f>ROUND('Revenue Buildup'!BG11/Assumptions!BG23,0)</f>
        <v>3</v>
      </c>
      <c r="BH10" s="150">
        <f>ROUND('Revenue Buildup'!BH11/Assumptions!BH23,0)</f>
        <v>3</v>
      </c>
      <c r="BI10" s="150">
        <f>ROUND('Revenue Buildup'!BI11/Assumptions!BI23,0)</f>
        <v>3</v>
      </c>
      <c r="BJ10" s="150">
        <f>ROUND('Revenue Buildup'!BJ11/Assumptions!BJ23,0)</f>
        <v>3</v>
      </c>
      <c r="BK10" s="150">
        <f>ROUND('Revenue Buildup'!BK11/Assumptions!BK23,0)</f>
        <v>3</v>
      </c>
      <c r="BL10" s="150">
        <f>ROUND('Revenue Buildup'!BL11/Assumptions!BL23,0)</f>
        <v>3</v>
      </c>
      <c r="BM10" s="150">
        <f>ROUND('Revenue Buildup'!BM11/Assumptions!BM23,0)</f>
        <v>3</v>
      </c>
      <c r="BN10" s="150">
        <f>ROUND('Revenue Buildup'!BN11/Assumptions!BN23,0)</f>
        <v>3</v>
      </c>
      <c r="BO10" s="150">
        <f>ROUND('Revenue Buildup'!BO11/Assumptions!BO23,0)</f>
        <v>3</v>
      </c>
      <c r="BP10" s="150">
        <f>ROUND('Revenue Buildup'!BP11/Assumptions!BP23,0)</f>
        <v>4</v>
      </c>
      <c r="BQ10" s="150">
        <f>ROUND('Revenue Buildup'!BQ11/Assumptions!BQ23,0)</f>
        <v>4</v>
      </c>
      <c r="BR10" s="150">
        <f>ROUND('Revenue Buildup'!BR11/Assumptions!BR23,0)</f>
        <v>4</v>
      </c>
      <c r="BS10" s="150">
        <f>ROUND('Revenue Buildup'!BS11/Assumptions!BS23,0)</f>
        <v>4</v>
      </c>
      <c r="BT10" s="150">
        <f>ROUND('Revenue Buildup'!BT11/Assumptions!BT23,0)</f>
        <v>4</v>
      </c>
      <c r="BU10" s="35"/>
    </row>
    <row r="11" spans="1:78" ht="15.6">
      <c r="A11" s="78" t="s">
        <v>116</v>
      </c>
      <c r="C11" s="87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35"/>
    </row>
    <row r="12" spans="1:78" ht="15.6">
      <c r="A12" s="144" t="str">
        <f>Assumptions!A24</f>
        <v>Customer Support</v>
      </c>
      <c r="F12" s="152" t="str">
        <f>Assumptions!F24</f>
        <v>Monthly Salary</v>
      </c>
      <c r="G12" s="61">
        <f>Assumptions!G24</f>
        <v>821.88564048373837</v>
      </c>
      <c r="H12" s="75">
        <f>Assumptions!H24</f>
        <v>0.05</v>
      </c>
      <c r="I12" s="144" t="str">
        <f>Assumptions!I24</f>
        <v>Annual Increment</v>
      </c>
      <c r="M12" s="58">
        <f t="shared" ref="M12:AR12" si="6">(M10*$G$12)*(1+$H$12)^(M$3-1)</f>
        <v>0</v>
      </c>
      <c r="N12" s="58">
        <f t="shared" si="6"/>
        <v>0</v>
      </c>
      <c r="O12" s="58">
        <f t="shared" si="6"/>
        <v>0</v>
      </c>
      <c r="P12" s="58">
        <f t="shared" si="6"/>
        <v>0</v>
      </c>
      <c r="Q12" s="58">
        <f t="shared" si="6"/>
        <v>0</v>
      </c>
      <c r="R12" s="58">
        <f t="shared" si="6"/>
        <v>821.88564048373837</v>
      </c>
      <c r="S12" s="58">
        <f t="shared" si="6"/>
        <v>821.88564048373837</v>
      </c>
      <c r="T12" s="58">
        <f t="shared" si="6"/>
        <v>821.88564048373837</v>
      </c>
      <c r="U12" s="58">
        <f t="shared" si="6"/>
        <v>821.88564048373837</v>
      </c>
      <c r="V12" s="58">
        <f t="shared" si="6"/>
        <v>821.88564048373837</v>
      </c>
      <c r="W12" s="58">
        <f t="shared" si="6"/>
        <v>821.88564048373837</v>
      </c>
      <c r="X12" s="58">
        <f t="shared" si="6"/>
        <v>821.88564048373837</v>
      </c>
      <c r="Y12" s="58">
        <f t="shared" si="6"/>
        <v>862.97992250792538</v>
      </c>
      <c r="Z12" s="58">
        <f t="shared" si="6"/>
        <v>862.97992250792538</v>
      </c>
      <c r="AA12" s="58">
        <f t="shared" si="6"/>
        <v>862.97992250792538</v>
      </c>
      <c r="AB12" s="58">
        <f t="shared" si="6"/>
        <v>862.97992250792538</v>
      </c>
      <c r="AC12" s="58">
        <f t="shared" si="6"/>
        <v>862.97992250792538</v>
      </c>
      <c r="AD12" s="58">
        <f t="shared" si="6"/>
        <v>862.97992250792538</v>
      </c>
      <c r="AE12" s="58">
        <f t="shared" si="6"/>
        <v>862.97992250792538</v>
      </c>
      <c r="AF12" s="58">
        <f t="shared" si="6"/>
        <v>862.97992250792538</v>
      </c>
      <c r="AG12" s="58">
        <f t="shared" si="6"/>
        <v>1725.9598450158508</v>
      </c>
      <c r="AH12" s="58">
        <f t="shared" si="6"/>
        <v>1725.9598450158508</v>
      </c>
      <c r="AI12" s="58">
        <f t="shared" si="6"/>
        <v>1725.9598450158508</v>
      </c>
      <c r="AJ12" s="58">
        <f t="shared" si="6"/>
        <v>1725.9598450158508</v>
      </c>
      <c r="AK12" s="58">
        <f t="shared" si="6"/>
        <v>1812.2578372666433</v>
      </c>
      <c r="AL12" s="58">
        <f t="shared" si="6"/>
        <v>1812.2578372666433</v>
      </c>
      <c r="AM12" s="58">
        <f t="shared" si="6"/>
        <v>1812.2578372666433</v>
      </c>
      <c r="AN12" s="58">
        <f t="shared" si="6"/>
        <v>1812.2578372666433</v>
      </c>
      <c r="AO12" s="58">
        <f t="shared" si="6"/>
        <v>1812.2578372666433</v>
      </c>
      <c r="AP12" s="58">
        <f t="shared" si="6"/>
        <v>1812.2578372666433</v>
      </c>
      <c r="AQ12" s="58">
        <f t="shared" si="6"/>
        <v>1812.2578372666433</v>
      </c>
      <c r="AR12" s="58">
        <f t="shared" si="6"/>
        <v>1812.2578372666433</v>
      </c>
      <c r="AS12" s="58">
        <f t="shared" ref="AS12:BT12" si="7">(AS10*$G$12)*(1+$H$12)^(AS$3-1)</f>
        <v>1812.2578372666433</v>
      </c>
      <c r="AT12" s="58">
        <f t="shared" si="7"/>
        <v>1812.2578372666433</v>
      </c>
      <c r="AU12" s="58">
        <f t="shared" si="7"/>
        <v>1812.2578372666433</v>
      </c>
      <c r="AV12" s="58">
        <f t="shared" si="7"/>
        <v>1812.2578372666433</v>
      </c>
      <c r="AW12" s="58">
        <f t="shared" si="7"/>
        <v>1902.8707291299754</v>
      </c>
      <c r="AX12" s="58">
        <f t="shared" si="7"/>
        <v>1902.8707291299754</v>
      </c>
      <c r="AY12" s="58">
        <f t="shared" si="7"/>
        <v>1902.8707291299754</v>
      </c>
      <c r="AZ12" s="58">
        <f t="shared" si="7"/>
        <v>1902.8707291299754</v>
      </c>
      <c r="BA12" s="58">
        <f t="shared" si="7"/>
        <v>1902.8707291299754</v>
      </c>
      <c r="BB12" s="58">
        <f t="shared" si="7"/>
        <v>1902.8707291299754</v>
      </c>
      <c r="BC12" s="58">
        <f t="shared" si="7"/>
        <v>1902.8707291299754</v>
      </c>
      <c r="BD12" s="58">
        <f t="shared" si="7"/>
        <v>2854.3060936949632</v>
      </c>
      <c r="BE12" s="58">
        <f t="shared" si="7"/>
        <v>2854.3060936949632</v>
      </c>
      <c r="BF12" s="58">
        <f t="shared" si="7"/>
        <v>2854.3060936949632</v>
      </c>
      <c r="BG12" s="58">
        <f t="shared" si="7"/>
        <v>2854.3060936949632</v>
      </c>
      <c r="BH12" s="58">
        <f t="shared" si="7"/>
        <v>2854.3060936949632</v>
      </c>
      <c r="BI12" s="58">
        <f t="shared" si="7"/>
        <v>2997.0213983797112</v>
      </c>
      <c r="BJ12" s="58">
        <f t="shared" si="7"/>
        <v>2997.0213983797112</v>
      </c>
      <c r="BK12" s="58">
        <f t="shared" si="7"/>
        <v>2997.0213983797112</v>
      </c>
      <c r="BL12" s="58">
        <f t="shared" si="7"/>
        <v>2997.0213983797112</v>
      </c>
      <c r="BM12" s="58">
        <f t="shared" si="7"/>
        <v>2997.0213983797112</v>
      </c>
      <c r="BN12" s="58">
        <f t="shared" si="7"/>
        <v>2997.0213983797112</v>
      </c>
      <c r="BO12" s="58">
        <f t="shared" si="7"/>
        <v>2997.0213983797112</v>
      </c>
      <c r="BP12" s="58">
        <f t="shared" si="7"/>
        <v>3996.0285311729481</v>
      </c>
      <c r="BQ12" s="58">
        <f t="shared" si="7"/>
        <v>3996.0285311729481</v>
      </c>
      <c r="BR12" s="58">
        <f t="shared" si="7"/>
        <v>3996.0285311729481</v>
      </c>
      <c r="BS12" s="58">
        <f t="shared" si="7"/>
        <v>3996.0285311729481</v>
      </c>
      <c r="BT12" s="58">
        <f t="shared" si="7"/>
        <v>3996.0285311729481</v>
      </c>
      <c r="BU12" s="35"/>
      <c r="BV12" s="145">
        <f t="shared" ref="BV12:BZ13" si="8">SUMIF($M$3:$BT$3,BV$3,$M12:$BT12)</f>
        <v>5753.19948338617</v>
      </c>
      <c r="BW12" s="145">
        <f t="shared" si="8"/>
        <v>13807.678760126802</v>
      </c>
      <c r="BX12" s="145">
        <f t="shared" si="8"/>
        <v>21747.09404719972</v>
      </c>
      <c r="BY12" s="145">
        <f t="shared" si="8"/>
        <v>27591.625572384641</v>
      </c>
      <c r="BZ12" s="145">
        <f t="shared" si="8"/>
        <v>40959.292444522718</v>
      </c>
    </row>
    <row r="13" spans="1:78" ht="15.6">
      <c r="A13" s="67" t="s">
        <v>117</v>
      </c>
      <c r="M13" s="153">
        <f t="shared" ref="M13:AR13" si="9">M7+M12</f>
        <v>375</v>
      </c>
      <c r="N13" s="153">
        <f t="shared" si="9"/>
        <v>375</v>
      </c>
      <c r="O13" s="153">
        <f t="shared" si="9"/>
        <v>750</v>
      </c>
      <c r="P13" s="153">
        <f t="shared" si="9"/>
        <v>750</v>
      </c>
      <c r="Q13" s="153">
        <f t="shared" si="9"/>
        <v>750</v>
      </c>
      <c r="R13" s="153">
        <f t="shared" si="9"/>
        <v>1946.8856404837384</v>
      </c>
      <c r="S13" s="153">
        <f t="shared" si="9"/>
        <v>1946.8856404837384</v>
      </c>
      <c r="T13" s="153">
        <f t="shared" si="9"/>
        <v>1946.8856404837384</v>
      </c>
      <c r="U13" s="153">
        <f t="shared" si="9"/>
        <v>2321.8856404837384</v>
      </c>
      <c r="V13" s="153">
        <f t="shared" si="9"/>
        <v>2321.8856404837384</v>
      </c>
      <c r="W13" s="153">
        <f t="shared" si="9"/>
        <v>2321.8856404837384</v>
      </c>
      <c r="X13" s="153">
        <f t="shared" si="9"/>
        <v>2696.8856404837384</v>
      </c>
      <c r="Y13" s="153">
        <f t="shared" si="9"/>
        <v>2737.9799225079255</v>
      </c>
      <c r="Z13" s="153">
        <f t="shared" si="9"/>
        <v>2737.9799225079255</v>
      </c>
      <c r="AA13" s="153">
        <f t="shared" si="9"/>
        <v>3112.9799225079255</v>
      </c>
      <c r="AB13" s="153">
        <f t="shared" si="9"/>
        <v>3112.9799225079255</v>
      </c>
      <c r="AC13" s="153">
        <f t="shared" si="9"/>
        <v>3112.9799225079255</v>
      </c>
      <c r="AD13" s="153">
        <f t="shared" si="9"/>
        <v>3487.9799225079255</v>
      </c>
      <c r="AE13" s="153">
        <f t="shared" si="9"/>
        <v>3487.9799225079255</v>
      </c>
      <c r="AF13" s="153">
        <f t="shared" si="9"/>
        <v>3487.9799225079255</v>
      </c>
      <c r="AG13" s="153">
        <f t="shared" si="9"/>
        <v>4725.959845015851</v>
      </c>
      <c r="AH13" s="153">
        <f t="shared" si="9"/>
        <v>4725.959845015851</v>
      </c>
      <c r="AI13" s="153">
        <f t="shared" si="9"/>
        <v>4725.959845015851</v>
      </c>
      <c r="AJ13" s="153">
        <f t="shared" si="9"/>
        <v>5100.959845015851</v>
      </c>
      <c r="AK13" s="153">
        <f t="shared" si="9"/>
        <v>5187.257837266643</v>
      </c>
      <c r="AL13" s="153">
        <f t="shared" si="9"/>
        <v>5187.257837266643</v>
      </c>
      <c r="AM13" s="153">
        <f t="shared" si="9"/>
        <v>5187.257837266643</v>
      </c>
      <c r="AN13" s="153">
        <f t="shared" si="9"/>
        <v>5187.257837266643</v>
      </c>
      <c r="AO13" s="153">
        <f t="shared" si="9"/>
        <v>5187.257837266643</v>
      </c>
      <c r="AP13" s="153">
        <f t="shared" si="9"/>
        <v>5562.257837266643</v>
      </c>
      <c r="AQ13" s="153">
        <f t="shared" si="9"/>
        <v>5562.257837266643</v>
      </c>
      <c r="AR13" s="153">
        <f t="shared" si="9"/>
        <v>5562.257837266643</v>
      </c>
      <c r="AS13" s="153">
        <f t="shared" ref="AS13:BX13" si="10">AS7+AS12</f>
        <v>5562.257837266643</v>
      </c>
      <c r="AT13" s="153">
        <f t="shared" si="10"/>
        <v>5562.257837266643</v>
      </c>
      <c r="AU13" s="153">
        <f t="shared" si="10"/>
        <v>5562.257837266643</v>
      </c>
      <c r="AV13" s="153">
        <f t="shared" si="10"/>
        <v>5937.257837266643</v>
      </c>
      <c r="AW13" s="153">
        <f t="shared" si="10"/>
        <v>6027.8707291299752</v>
      </c>
      <c r="AX13" s="153">
        <f t="shared" si="10"/>
        <v>6027.8707291299752</v>
      </c>
      <c r="AY13" s="153">
        <f t="shared" si="10"/>
        <v>6027.8707291299752</v>
      </c>
      <c r="AZ13" s="153">
        <f t="shared" si="10"/>
        <v>6402.8707291299752</v>
      </c>
      <c r="BA13" s="153">
        <f t="shared" si="10"/>
        <v>6402.8707291299752</v>
      </c>
      <c r="BB13" s="153">
        <f t="shared" si="10"/>
        <v>6402.8707291299752</v>
      </c>
      <c r="BC13" s="153">
        <f t="shared" si="10"/>
        <v>6402.8707291299752</v>
      </c>
      <c r="BD13" s="153">
        <f t="shared" si="10"/>
        <v>7729.3060936949632</v>
      </c>
      <c r="BE13" s="153">
        <f t="shared" si="10"/>
        <v>7729.3060936949632</v>
      </c>
      <c r="BF13" s="153">
        <f t="shared" si="10"/>
        <v>7729.3060936949632</v>
      </c>
      <c r="BG13" s="153">
        <f t="shared" si="10"/>
        <v>7729.3060936949632</v>
      </c>
      <c r="BH13" s="153">
        <f t="shared" si="10"/>
        <v>8104.3060936949632</v>
      </c>
      <c r="BI13" s="153">
        <f t="shared" si="10"/>
        <v>8247.0213983797112</v>
      </c>
      <c r="BJ13" s="153">
        <f t="shared" si="10"/>
        <v>8622.0213983797112</v>
      </c>
      <c r="BK13" s="153">
        <f t="shared" si="10"/>
        <v>8622.0213983797112</v>
      </c>
      <c r="BL13" s="153">
        <f t="shared" si="10"/>
        <v>8997.0213983797112</v>
      </c>
      <c r="BM13" s="153">
        <f t="shared" si="10"/>
        <v>8997.0213983797112</v>
      </c>
      <c r="BN13" s="153">
        <f t="shared" si="10"/>
        <v>9372.0213983797112</v>
      </c>
      <c r="BO13" s="153">
        <f t="shared" si="10"/>
        <v>9372.0213983797112</v>
      </c>
      <c r="BP13" s="153">
        <f t="shared" si="10"/>
        <v>10746.028531172948</v>
      </c>
      <c r="BQ13" s="153">
        <f t="shared" si="10"/>
        <v>10746.028531172948</v>
      </c>
      <c r="BR13" s="153">
        <f t="shared" si="10"/>
        <v>11121.028531172948</v>
      </c>
      <c r="BS13" s="153">
        <f t="shared" si="10"/>
        <v>11121.028531172948</v>
      </c>
      <c r="BT13" s="153">
        <f t="shared" si="10"/>
        <v>11496.028531172948</v>
      </c>
      <c r="BU13" s="35"/>
      <c r="BV13" s="154">
        <f t="shared" si="8"/>
        <v>18503.199483386172</v>
      </c>
      <c r="BW13" s="154">
        <f t="shared" si="8"/>
        <v>44557.678760126808</v>
      </c>
      <c r="BX13" s="154">
        <f t="shared" si="8"/>
        <v>65247.094047199731</v>
      </c>
      <c r="BY13" s="154">
        <f t="shared" si="8"/>
        <v>82716.625572384641</v>
      </c>
      <c r="BZ13" s="154">
        <f t="shared" si="8"/>
        <v>117459.29244452275</v>
      </c>
    </row>
    <row r="14" spans="1:78" ht="15.6">
      <c r="A14" s="141" t="str">
        <f>Assumptions!A25</f>
        <v>Operating Expense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</row>
    <row r="15" spans="1:78" ht="15.6">
      <c r="A15" s="155" t="str">
        <f>Assumptions!A26</f>
        <v>Sales &amp; Marketing Expense</v>
      </c>
      <c r="B15" s="73"/>
      <c r="C15" s="73"/>
      <c r="D15" s="73"/>
      <c r="E15" s="73"/>
      <c r="F15" s="73"/>
      <c r="G15" s="73"/>
      <c r="H15" s="156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35"/>
      <c r="BV15" s="73"/>
      <c r="BW15" s="73"/>
      <c r="BX15" s="73"/>
      <c r="BY15" s="73"/>
      <c r="BZ15" s="73"/>
    </row>
    <row r="16" spans="1:78" ht="15.6">
      <c r="A16" s="142" t="str">
        <f>Assumptions!A27</f>
        <v>Sales</v>
      </c>
      <c r="BU16" s="35"/>
    </row>
    <row r="17" spans="1:78">
      <c r="A17" s="144" t="str">
        <f>Assumptions!A28</f>
        <v>Sales-SDR-Outsourced</v>
      </c>
      <c r="M17" s="135">
        <f>Assumptions!M28</f>
        <v>1800</v>
      </c>
      <c r="N17" s="135">
        <f>Assumptions!N28</f>
        <v>1800</v>
      </c>
      <c r="O17" s="135">
        <f>Assumptions!O28</f>
        <v>1800</v>
      </c>
      <c r="P17" s="135">
        <f>Assumptions!P28</f>
        <v>1800</v>
      </c>
      <c r="Q17" s="135">
        <f>Assumptions!Q28</f>
        <v>1800</v>
      </c>
      <c r="R17" s="135">
        <f>Assumptions!R28</f>
        <v>1800</v>
      </c>
      <c r="S17" s="135">
        <f>Assumptions!S28</f>
        <v>1800</v>
      </c>
      <c r="T17" s="135">
        <f>Assumptions!T28</f>
        <v>1800</v>
      </c>
      <c r="U17" s="135">
        <f>Assumptions!U28</f>
        <v>1800</v>
      </c>
      <c r="V17" s="135">
        <f>Assumptions!V28</f>
        <v>1800</v>
      </c>
      <c r="W17" s="135">
        <f>Assumptions!W28</f>
        <v>1800</v>
      </c>
      <c r="X17" s="135">
        <f>Assumptions!X28</f>
        <v>1800</v>
      </c>
      <c r="Y17" s="135">
        <f>Assumptions!Y28</f>
        <v>1800</v>
      </c>
      <c r="Z17" s="135">
        <f>Assumptions!Z28</f>
        <v>1800</v>
      </c>
      <c r="AA17" s="135">
        <f>Assumptions!AA28</f>
        <v>1800</v>
      </c>
      <c r="AB17" s="135">
        <f>Assumptions!AB28</f>
        <v>1800</v>
      </c>
      <c r="AC17" s="135">
        <f>Assumptions!AC28</f>
        <v>1800</v>
      </c>
      <c r="AD17" s="135">
        <f>Assumptions!AD28</f>
        <v>1800</v>
      </c>
      <c r="AE17" s="135">
        <f>Assumptions!AE28</f>
        <v>1800</v>
      </c>
      <c r="AF17" s="135">
        <f>Assumptions!AF28</f>
        <v>1800</v>
      </c>
      <c r="AG17" s="135">
        <f>Assumptions!AG28</f>
        <v>1800</v>
      </c>
      <c r="AH17" s="135">
        <f>Assumptions!AH28</f>
        <v>1800</v>
      </c>
      <c r="AI17" s="135">
        <f>Assumptions!AI28</f>
        <v>1800</v>
      </c>
      <c r="AJ17" s="135">
        <f>Assumptions!AJ28</f>
        <v>1800</v>
      </c>
      <c r="AK17" s="135">
        <f>Assumptions!AK28</f>
        <v>1800</v>
      </c>
      <c r="AL17" s="135">
        <f>Assumptions!AL28</f>
        <v>1800</v>
      </c>
      <c r="AM17" s="135">
        <f>Assumptions!AM28</f>
        <v>1800</v>
      </c>
      <c r="AN17" s="135">
        <f>Assumptions!AN28</f>
        <v>1800</v>
      </c>
      <c r="AO17" s="135">
        <f>Assumptions!AO28</f>
        <v>1800</v>
      </c>
      <c r="AP17" s="135">
        <f>Assumptions!AP28</f>
        <v>1800</v>
      </c>
      <c r="AQ17" s="135">
        <f>Assumptions!AQ28</f>
        <v>1800</v>
      </c>
      <c r="AR17" s="135">
        <f>Assumptions!AR28</f>
        <v>1800</v>
      </c>
      <c r="AS17" s="135">
        <f>Assumptions!AS28</f>
        <v>1800</v>
      </c>
      <c r="AT17" s="135">
        <f>Assumptions!AT28</f>
        <v>1800</v>
      </c>
      <c r="AU17" s="135">
        <f>Assumptions!AU28</f>
        <v>1800</v>
      </c>
      <c r="AV17" s="135">
        <f>Assumptions!AV28</f>
        <v>1800</v>
      </c>
      <c r="AW17" s="135">
        <f>Assumptions!AW28</f>
        <v>1800</v>
      </c>
      <c r="AX17" s="135">
        <f>Assumptions!AX28</f>
        <v>1800</v>
      </c>
      <c r="AY17" s="135">
        <f>Assumptions!AY28</f>
        <v>1800</v>
      </c>
      <c r="AZ17" s="135">
        <f>Assumptions!AZ28</f>
        <v>1800</v>
      </c>
      <c r="BA17" s="135">
        <f>Assumptions!BA28</f>
        <v>1800</v>
      </c>
      <c r="BB17" s="135">
        <f>Assumptions!BB28</f>
        <v>1800</v>
      </c>
      <c r="BC17" s="135">
        <f>Assumptions!BC28</f>
        <v>1800</v>
      </c>
      <c r="BD17" s="135">
        <f>Assumptions!BD28</f>
        <v>1800</v>
      </c>
      <c r="BE17" s="135">
        <f>Assumptions!BE28</f>
        <v>1800</v>
      </c>
      <c r="BF17" s="135">
        <f>Assumptions!BF28</f>
        <v>1800</v>
      </c>
      <c r="BG17" s="135">
        <f>Assumptions!BG28</f>
        <v>1800</v>
      </c>
      <c r="BH17" s="135">
        <f>Assumptions!BH28</f>
        <v>1800</v>
      </c>
      <c r="BI17" s="135">
        <f>Assumptions!BI28</f>
        <v>1800</v>
      </c>
      <c r="BJ17" s="135">
        <f>Assumptions!BJ28</f>
        <v>1800</v>
      </c>
      <c r="BK17" s="135">
        <f>Assumptions!BK28</f>
        <v>1800</v>
      </c>
      <c r="BL17" s="135">
        <f>Assumptions!BL28</f>
        <v>1800</v>
      </c>
      <c r="BM17" s="135">
        <f>Assumptions!BM28</f>
        <v>1800</v>
      </c>
      <c r="BN17" s="135">
        <f>Assumptions!BN28</f>
        <v>1800</v>
      </c>
      <c r="BO17" s="135">
        <f>Assumptions!BO28</f>
        <v>1800</v>
      </c>
      <c r="BP17" s="135">
        <f>Assumptions!BP28</f>
        <v>1800</v>
      </c>
      <c r="BQ17" s="135">
        <f>Assumptions!BQ28</f>
        <v>1800</v>
      </c>
      <c r="BR17" s="135">
        <f>Assumptions!BR28</f>
        <v>1800</v>
      </c>
      <c r="BS17" s="135">
        <f>Assumptions!BS28</f>
        <v>1800</v>
      </c>
      <c r="BT17" s="135">
        <f>Assumptions!BT28</f>
        <v>1800</v>
      </c>
      <c r="BU17" s="35"/>
      <c r="BV17" s="145">
        <f>SUMIF($M$3:$BT$3,BV$3,$M17:$BT17)</f>
        <v>21600</v>
      </c>
      <c r="BW17" s="145">
        <f>SUMIF($M$3:$BT$3,BW$3,$M17:$BT17)</f>
        <v>21600</v>
      </c>
      <c r="BX17" s="145">
        <f>SUMIF($M$3:$BT$3,BX$3,$M17:$BT17)</f>
        <v>21600</v>
      </c>
      <c r="BY17" s="145">
        <f>SUMIF($M$3:$BT$3,BY$3,$M17:$BT17)</f>
        <v>21600</v>
      </c>
      <c r="BZ17" s="145">
        <f>SUMIF($M$3:$BT$3,BZ$3,$M17:$BT17)</f>
        <v>21600</v>
      </c>
    </row>
    <row r="18" spans="1:78" ht="15.6">
      <c r="A18" s="146" t="str">
        <f>Assumptions!A29</f>
        <v>Cost/Lead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157">
        <f>Assumptions!M29</f>
        <v>300</v>
      </c>
      <c r="N18" s="157">
        <f>Assumptions!N29</f>
        <v>300</v>
      </c>
      <c r="O18" s="157">
        <f>Assumptions!O29</f>
        <v>300</v>
      </c>
      <c r="P18" s="157">
        <f>Assumptions!P29</f>
        <v>300</v>
      </c>
      <c r="Q18" s="157">
        <f>Assumptions!Q29</f>
        <v>300</v>
      </c>
      <c r="R18" s="157">
        <f>Assumptions!R29</f>
        <v>300</v>
      </c>
      <c r="S18" s="157">
        <f>Assumptions!S29</f>
        <v>300</v>
      </c>
      <c r="T18" s="157">
        <f>Assumptions!T29</f>
        <v>300</v>
      </c>
      <c r="U18" s="157">
        <f>Assumptions!U29</f>
        <v>300</v>
      </c>
      <c r="V18" s="157">
        <f>Assumptions!V29</f>
        <v>300</v>
      </c>
      <c r="W18" s="157">
        <f>Assumptions!W29</f>
        <v>300</v>
      </c>
      <c r="X18" s="157">
        <f>Assumptions!X29</f>
        <v>300</v>
      </c>
      <c r="Y18" s="157">
        <f>Assumptions!Y29</f>
        <v>300</v>
      </c>
      <c r="Z18" s="157">
        <f>Assumptions!Z29</f>
        <v>300</v>
      </c>
      <c r="AA18" s="157">
        <f>Assumptions!AA29</f>
        <v>300</v>
      </c>
      <c r="AB18" s="157">
        <f>Assumptions!AB29</f>
        <v>300</v>
      </c>
      <c r="AC18" s="157">
        <f>Assumptions!AC29</f>
        <v>300</v>
      </c>
      <c r="AD18" s="157">
        <f>Assumptions!AD29</f>
        <v>300</v>
      </c>
      <c r="AE18" s="157">
        <f>Assumptions!AE29</f>
        <v>300</v>
      </c>
      <c r="AF18" s="157">
        <f>Assumptions!AF29</f>
        <v>300</v>
      </c>
      <c r="AG18" s="157">
        <f>Assumptions!AG29</f>
        <v>300</v>
      </c>
      <c r="AH18" s="157">
        <f>Assumptions!AH29</f>
        <v>300</v>
      </c>
      <c r="AI18" s="157">
        <f>Assumptions!AI29</f>
        <v>300</v>
      </c>
      <c r="AJ18" s="157">
        <f>Assumptions!AJ29</f>
        <v>300</v>
      </c>
      <c r="AK18" s="157">
        <f>Assumptions!AK29</f>
        <v>300</v>
      </c>
      <c r="AL18" s="157">
        <f>Assumptions!AL29</f>
        <v>300</v>
      </c>
      <c r="AM18" s="157">
        <f>Assumptions!AM29</f>
        <v>300</v>
      </c>
      <c r="AN18" s="157">
        <f>Assumptions!AN29</f>
        <v>300</v>
      </c>
      <c r="AO18" s="157">
        <f>Assumptions!AO29</f>
        <v>300</v>
      </c>
      <c r="AP18" s="157">
        <f>Assumptions!AP29</f>
        <v>300</v>
      </c>
      <c r="AQ18" s="157">
        <f>Assumptions!AQ29</f>
        <v>300</v>
      </c>
      <c r="AR18" s="157">
        <f>Assumptions!AR29</f>
        <v>300</v>
      </c>
      <c r="AS18" s="157">
        <f>Assumptions!AS29</f>
        <v>300</v>
      </c>
      <c r="AT18" s="157">
        <f>Assumptions!AT29</f>
        <v>300</v>
      </c>
      <c r="AU18" s="157">
        <f>Assumptions!AU29</f>
        <v>300</v>
      </c>
      <c r="AV18" s="157">
        <f>Assumptions!AV29</f>
        <v>300</v>
      </c>
      <c r="AW18" s="157">
        <f>Assumptions!AW29</f>
        <v>300</v>
      </c>
      <c r="AX18" s="157">
        <f>Assumptions!AX29</f>
        <v>300</v>
      </c>
      <c r="AY18" s="157">
        <f>Assumptions!AY29</f>
        <v>300</v>
      </c>
      <c r="AZ18" s="157">
        <f>Assumptions!AZ29</f>
        <v>300</v>
      </c>
      <c r="BA18" s="157">
        <f>Assumptions!BA29</f>
        <v>300</v>
      </c>
      <c r="BB18" s="157">
        <f>Assumptions!BB29</f>
        <v>300</v>
      </c>
      <c r="BC18" s="157">
        <f>Assumptions!BC29</f>
        <v>300</v>
      </c>
      <c r="BD18" s="157">
        <f>Assumptions!BD29</f>
        <v>300</v>
      </c>
      <c r="BE18" s="157">
        <f>Assumptions!BE29</f>
        <v>300</v>
      </c>
      <c r="BF18" s="157">
        <f>Assumptions!BF29</f>
        <v>300</v>
      </c>
      <c r="BG18" s="157">
        <f>Assumptions!BG29</f>
        <v>300</v>
      </c>
      <c r="BH18" s="157">
        <f>Assumptions!BH29</f>
        <v>300</v>
      </c>
      <c r="BI18" s="157">
        <f>Assumptions!BI29</f>
        <v>300</v>
      </c>
      <c r="BJ18" s="157">
        <f>Assumptions!BJ29</f>
        <v>300</v>
      </c>
      <c r="BK18" s="157">
        <f>Assumptions!BK29</f>
        <v>300</v>
      </c>
      <c r="BL18" s="157">
        <f>Assumptions!BL29</f>
        <v>300</v>
      </c>
      <c r="BM18" s="157">
        <f>Assumptions!BM29</f>
        <v>300</v>
      </c>
      <c r="BN18" s="157">
        <f>Assumptions!BN29</f>
        <v>300</v>
      </c>
      <c r="BO18" s="157">
        <f>Assumptions!BO29</f>
        <v>300</v>
      </c>
      <c r="BP18" s="157">
        <f>Assumptions!BP29</f>
        <v>300</v>
      </c>
      <c r="BQ18" s="157">
        <f>Assumptions!BQ29</f>
        <v>300</v>
      </c>
      <c r="BR18" s="157">
        <f>Assumptions!BR29</f>
        <v>300</v>
      </c>
      <c r="BS18" s="157">
        <f>Assumptions!BS29</f>
        <v>300</v>
      </c>
      <c r="BT18" s="157">
        <f>Assumptions!BT29</f>
        <v>300</v>
      </c>
      <c r="BU18" s="35"/>
      <c r="BV18" s="145"/>
      <c r="BW18" s="145"/>
      <c r="BX18" s="145"/>
      <c r="BY18" s="145"/>
      <c r="BZ18" s="145"/>
    </row>
    <row r="19" spans="1:78" ht="15.6">
      <c r="A19" s="87" t="s">
        <v>118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158">
        <f t="shared" ref="M19:AR19" si="11">ROUND(M17/M18,0)</f>
        <v>6</v>
      </c>
      <c r="N19" s="158">
        <f t="shared" si="11"/>
        <v>6</v>
      </c>
      <c r="O19" s="158">
        <f t="shared" si="11"/>
        <v>6</v>
      </c>
      <c r="P19" s="158">
        <f t="shared" si="11"/>
        <v>6</v>
      </c>
      <c r="Q19" s="158">
        <f t="shared" si="11"/>
        <v>6</v>
      </c>
      <c r="R19" s="158">
        <f t="shared" si="11"/>
        <v>6</v>
      </c>
      <c r="S19" s="158">
        <f t="shared" si="11"/>
        <v>6</v>
      </c>
      <c r="T19" s="158">
        <f t="shared" si="11"/>
        <v>6</v>
      </c>
      <c r="U19" s="158">
        <f t="shared" si="11"/>
        <v>6</v>
      </c>
      <c r="V19" s="158">
        <f t="shared" si="11"/>
        <v>6</v>
      </c>
      <c r="W19" s="158">
        <f t="shared" si="11"/>
        <v>6</v>
      </c>
      <c r="X19" s="158">
        <f t="shared" si="11"/>
        <v>6</v>
      </c>
      <c r="Y19" s="158">
        <f t="shared" si="11"/>
        <v>6</v>
      </c>
      <c r="Z19" s="158">
        <f t="shared" si="11"/>
        <v>6</v>
      </c>
      <c r="AA19" s="158">
        <f t="shared" si="11"/>
        <v>6</v>
      </c>
      <c r="AB19" s="158">
        <f t="shared" si="11"/>
        <v>6</v>
      </c>
      <c r="AC19" s="158">
        <f t="shared" si="11"/>
        <v>6</v>
      </c>
      <c r="AD19" s="158">
        <f t="shared" si="11"/>
        <v>6</v>
      </c>
      <c r="AE19" s="158">
        <f t="shared" si="11"/>
        <v>6</v>
      </c>
      <c r="AF19" s="158">
        <f t="shared" si="11"/>
        <v>6</v>
      </c>
      <c r="AG19" s="158">
        <f t="shared" si="11"/>
        <v>6</v>
      </c>
      <c r="AH19" s="158">
        <f t="shared" si="11"/>
        <v>6</v>
      </c>
      <c r="AI19" s="158">
        <f t="shared" si="11"/>
        <v>6</v>
      </c>
      <c r="AJ19" s="158">
        <f t="shared" si="11"/>
        <v>6</v>
      </c>
      <c r="AK19" s="158">
        <f t="shared" si="11"/>
        <v>6</v>
      </c>
      <c r="AL19" s="158">
        <f t="shared" si="11"/>
        <v>6</v>
      </c>
      <c r="AM19" s="158">
        <f t="shared" si="11"/>
        <v>6</v>
      </c>
      <c r="AN19" s="158">
        <f t="shared" si="11"/>
        <v>6</v>
      </c>
      <c r="AO19" s="158">
        <f t="shared" si="11"/>
        <v>6</v>
      </c>
      <c r="AP19" s="158">
        <f t="shared" si="11"/>
        <v>6</v>
      </c>
      <c r="AQ19" s="158">
        <f t="shared" si="11"/>
        <v>6</v>
      </c>
      <c r="AR19" s="158">
        <f t="shared" si="11"/>
        <v>6</v>
      </c>
      <c r="AS19" s="158">
        <f t="shared" ref="AS19:BX19" si="12">ROUND(AS17/AS18,0)</f>
        <v>6</v>
      </c>
      <c r="AT19" s="158">
        <f t="shared" si="12"/>
        <v>6</v>
      </c>
      <c r="AU19" s="158">
        <f t="shared" si="12"/>
        <v>6</v>
      </c>
      <c r="AV19" s="158">
        <f t="shared" si="12"/>
        <v>6</v>
      </c>
      <c r="AW19" s="158">
        <f t="shared" si="12"/>
        <v>6</v>
      </c>
      <c r="AX19" s="158">
        <f t="shared" si="12"/>
        <v>6</v>
      </c>
      <c r="AY19" s="158">
        <f t="shared" si="12"/>
        <v>6</v>
      </c>
      <c r="AZ19" s="158">
        <f t="shared" si="12"/>
        <v>6</v>
      </c>
      <c r="BA19" s="158">
        <f t="shared" si="12"/>
        <v>6</v>
      </c>
      <c r="BB19" s="158">
        <f t="shared" si="12"/>
        <v>6</v>
      </c>
      <c r="BC19" s="158">
        <f t="shared" si="12"/>
        <v>6</v>
      </c>
      <c r="BD19" s="158">
        <f t="shared" si="12"/>
        <v>6</v>
      </c>
      <c r="BE19" s="158">
        <f t="shared" si="12"/>
        <v>6</v>
      </c>
      <c r="BF19" s="158">
        <f t="shared" si="12"/>
        <v>6</v>
      </c>
      <c r="BG19" s="158">
        <f t="shared" si="12"/>
        <v>6</v>
      </c>
      <c r="BH19" s="158">
        <f t="shared" si="12"/>
        <v>6</v>
      </c>
      <c r="BI19" s="158">
        <f t="shared" si="12"/>
        <v>6</v>
      </c>
      <c r="BJ19" s="158">
        <f t="shared" si="12"/>
        <v>6</v>
      </c>
      <c r="BK19" s="158">
        <f t="shared" si="12"/>
        <v>6</v>
      </c>
      <c r="BL19" s="158">
        <f t="shared" si="12"/>
        <v>6</v>
      </c>
      <c r="BM19" s="158">
        <f t="shared" si="12"/>
        <v>6</v>
      </c>
      <c r="BN19" s="158">
        <f t="shared" si="12"/>
        <v>6</v>
      </c>
      <c r="BO19" s="158">
        <f t="shared" si="12"/>
        <v>6</v>
      </c>
      <c r="BP19" s="158">
        <f t="shared" si="12"/>
        <v>6</v>
      </c>
      <c r="BQ19" s="158">
        <f t="shared" si="12"/>
        <v>6</v>
      </c>
      <c r="BR19" s="158">
        <f t="shared" si="12"/>
        <v>6</v>
      </c>
      <c r="BS19" s="158">
        <f t="shared" si="12"/>
        <v>6</v>
      </c>
      <c r="BT19" s="158">
        <f t="shared" si="12"/>
        <v>6</v>
      </c>
      <c r="BU19" s="35"/>
    </row>
    <row r="20" spans="1:78">
      <c r="A20" s="144" t="str">
        <f>Assumptions!A30</f>
        <v>Additional Cost for Qualified Leads</v>
      </c>
      <c r="M20" s="135">
        <f>M19*Assumptions!M30</f>
        <v>1800</v>
      </c>
      <c r="N20" s="135">
        <f>N19*Assumptions!N30</f>
        <v>1800</v>
      </c>
      <c r="O20" s="135">
        <f>O19*Assumptions!O30</f>
        <v>1800</v>
      </c>
      <c r="P20" s="135">
        <f>P19*Assumptions!P30</f>
        <v>1800</v>
      </c>
      <c r="Q20" s="135">
        <f>Q19*Assumptions!Q30</f>
        <v>1800</v>
      </c>
      <c r="R20" s="135">
        <f>R19*Assumptions!R30</f>
        <v>1800</v>
      </c>
      <c r="S20" s="135">
        <f>S19*Assumptions!S30</f>
        <v>1800</v>
      </c>
      <c r="T20" s="135">
        <f>T19*Assumptions!T30</f>
        <v>1800</v>
      </c>
      <c r="U20" s="135">
        <f>U19*Assumptions!U30</f>
        <v>1800</v>
      </c>
      <c r="V20" s="135">
        <f>V19*Assumptions!V30</f>
        <v>1800</v>
      </c>
      <c r="W20" s="135">
        <f>W19*Assumptions!W30</f>
        <v>1800</v>
      </c>
      <c r="X20" s="135">
        <f>X19*Assumptions!X30</f>
        <v>1800</v>
      </c>
      <c r="Y20" s="135">
        <f>Y19*Assumptions!Y30</f>
        <v>1800</v>
      </c>
      <c r="Z20" s="135">
        <f>Z19*Assumptions!Z30</f>
        <v>1800</v>
      </c>
      <c r="AA20" s="135">
        <f>AA19*Assumptions!AA30</f>
        <v>1800</v>
      </c>
      <c r="AB20" s="135">
        <f>AB19*Assumptions!AB30</f>
        <v>1800</v>
      </c>
      <c r="AC20" s="135">
        <f>AC19*Assumptions!AC30</f>
        <v>1800</v>
      </c>
      <c r="AD20" s="135">
        <f>AD19*Assumptions!AD30</f>
        <v>1800</v>
      </c>
      <c r="AE20" s="135">
        <f>AE19*Assumptions!AE30</f>
        <v>1800</v>
      </c>
      <c r="AF20" s="135">
        <f>AF19*Assumptions!AF30</f>
        <v>1800</v>
      </c>
      <c r="AG20" s="135">
        <f>AG19*Assumptions!AG30</f>
        <v>1800</v>
      </c>
      <c r="AH20" s="135">
        <f>AH19*Assumptions!AH30</f>
        <v>1800</v>
      </c>
      <c r="AI20" s="135">
        <f>AI19*Assumptions!AI30</f>
        <v>1800</v>
      </c>
      <c r="AJ20" s="135">
        <f>AJ19*Assumptions!AJ30</f>
        <v>1800</v>
      </c>
      <c r="AK20" s="135">
        <f>AK19*Assumptions!AK30</f>
        <v>1800</v>
      </c>
      <c r="AL20" s="135">
        <f>AL19*Assumptions!AL30</f>
        <v>1800</v>
      </c>
      <c r="AM20" s="135">
        <f>AM19*Assumptions!AM30</f>
        <v>1800</v>
      </c>
      <c r="AN20" s="135">
        <f>AN19*Assumptions!AN30</f>
        <v>1800</v>
      </c>
      <c r="AO20" s="135">
        <f>AO19*Assumptions!AO30</f>
        <v>1800</v>
      </c>
      <c r="AP20" s="135">
        <f>AP19*Assumptions!AP30</f>
        <v>1800</v>
      </c>
      <c r="AQ20" s="135">
        <f>AQ19*Assumptions!AQ30</f>
        <v>1800</v>
      </c>
      <c r="AR20" s="135">
        <f>AR19*Assumptions!AR30</f>
        <v>1800</v>
      </c>
      <c r="AS20" s="135">
        <f>AS19*Assumptions!AS30</f>
        <v>1800</v>
      </c>
      <c r="AT20" s="135">
        <f>AT19*Assumptions!AT30</f>
        <v>1800</v>
      </c>
      <c r="AU20" s="135">
        <f>AU19*Assumptions!AU30</f>
        <v>1800</v>
      </c>
      <c r="AV20" s="135">
        <f>AV19*Assumptions!AV30</f>
        <v>1800</v>
      </c>
      <c r="AW20" s="135">
        <f>AW19*Assumptions!AW30</f>
        <v>1800</v>
      </c>
      <c r="AX20" s="135">
        <f>AX19*Assumptions!AX30</f>
        <v>1800</v>
      </c>
      <c r="AY20" s="135">
        <f>AY19*Assumptions!AY30</f>
        <v>1800</v>
      </c>
      <c r="AZ20" s="135">
        <f>AZ19*Assumptions!AZ30</f>
        <v>1800</v>
      </c>
      <c r="BA20" s="135">
        <f>BA19*Assumptions!BA30</f>
        <v>1800</v>
      </c>
      <c r="BB20" s="135">
        <f>BB19*Assumptions!BB30</f>
        <v>1800</v>
      </c>
      <c r="BC20" s="135">
        <f>BC19*Assumptions!BC30</f>
        <v>1800</v>
      </c>
      <c r="BD20" s="135">
        <f>BD19*Assumptions!BD30</f>
        <v>1800</v>
      </c>
      <c r="BE20" s="135">
        <f>BE19*Assumptions!BE30</f>
        <v>1800</v>
      </c>
      <c r="BF20" s="135">
        <f>BF19*Assumptions!BF30</f>
        <v>1800</v>
      </c>
      <c r="BG20" s="135">
        <f>BG19*Assumptions!BG30</f>
        <v>1800</v>
      </c>
      <c r="BH20" s="135">
        <f>BH19*Assumptions!BH30</f>
        <v>1800</v>
      </c>
      <c r="BI20" s="135">
        <f>BI19*Assumptions!BI30</f>
        <v>1800</v>
      </c>
      <c r="BJ20" s="135">
        <f>BJ19*Assumptions!BJ30</f>
        <v>1800</v>
      </c>
      <c r="BK20" s="135">
        <f>BK19*Assumptions!BK30</f>
        <v>1800</v>
      </c>
      <c r="BL20" s="135">
        <f>BL19*Assumptions!BL30</f>
        <v>1800</v>
      </c>
      <c r="BM20" s="135">
        <f>BM19*Assumptions!BM30</f>
        <v>1800</v>
      </c>
      <c r="BN20" s="135">
        <f>BN19*Assumptions!BN30</f>
        <v>1800</v>
      </c>
      <c r="BO20" s="135">
        <f>BO19*Assumptions!BO30</f>
        <v>1800</v>
      </c>
      <c r="BP20" s="135">
        <f>BP19*Assumptions!BP30</f>
        <v>1800</v>
      </c>
      <c r="BQ20" s="135">
        <f>BQ19*Assumptions!BQ30</f>
        <v>1800</v>
      </c>
      <c r="BR20" s="135">
        <f>BR19*Assumptions!BR30</f>
        <v>1800</v>
      </c>
      <c r="BS20" s="135">
        <f>BS19*Assumptions!BS30</f>
        <v>1800</v>
      </c>
      <c r="BT20" s="135">
        <f>BT19*Assumptions!BT30</f>
        <v>1800</v>
      </c>
      <c r="BU20" s="35"/>
      <c r="BV20" s="145"/>
      <c r="BW20" s="145"/>
      <c r="BX20" s="145"/>
      <c r="BY20" s="145"/>
      <c r="BZ20" s="145"/>
    </row>
    <row r="21" spans="1:78" ht="15.6">
      <c r="A21" s="142" t="str">
        <f>Assumptions!A31</f>
        <v>Sales Commission %</v>
      </c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35"/>
    </row>
    <row r="22" spans="1:78">
      <c r="A22" s="144" t="str">
        <f>Assumptions!A32</f>
        <v>New Bookings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135">
        <f>Assumptions!M32*'Revenue Buildup'!M13</f>
        <v>0</v>
      </c>
      <c r="N22" s="135">
        <f>Assumptions!N32*'Revenue Buildup'!N13</f>
        <v>0</v>
      </c>
      <c r="O22" s="135">
        <f>Assumptions!O32*'Revenue Buildup'!O13</f>
        <v>2250</v>
      </c>
      <c r="P22" s="135">
        <f>Assumptions!P32*'Revenue Buildup'!P13</f>
        <v>0</v>
      </c>
      <c r="Q22" s="135">
        <f>Assumptions!Q32*'Revenue Buildup'!Q13</f>
        <v>0</v>
      </c>
      <c r="R22" s="135">
        <f>Assumptions!R32*'Revenue Buildup'!R13</f>
        <v>2250</v>
      </c>
      <c r="S22" s="135">
        <f>Assumptions!S32*'Revenue Buildup'!S13</f>
        <v>0</v>
      </c>
      <c r="T22" s="135">
        <f>Assumptions!T32*'Revenue Buildup'!T13</f>
        <v>0</v>
      </c>
      <c r="U22" s="135">
        <f>Assumptions!U32*'Revenue Buildup'!U13</f>
        <v>2250</v>
      </c>
      <c r="V22" s="135">
        <f>Assumptions!V32*'Revenue Buildup'!V13</f>
        <v>0</v>
      </c>
      <c r="W22" s="135">
        <f>Assumptions!W32*'Revenue Buildup'!W13</f>
        <v>0</v>
      </c>
      <c r="X22" s="135">
        <f>Assumptions!X32*'Revenue Buildup'!X13</f>
        <v>2250</v>
      </c>
      <c r="Y22" s="135">
        <f>Assumptions!Y32*'Revenue Buildup'!Y13</f>
        <v>0</v>
      </c>
      <c r="Z22" s="135">
        <f>Assumptions!Z32*'Revenue Buildup'!Z13</f>
        <v>0</v>
      </c>
      <c r="AA22" s="135">
        <f>Assumptions!AA32*'Revenue Buildup'!AA13</f>
        <v>2250</v>
      </c>
      <c r="AB22" s="135">
        <f>Assumptions!AB32*'Revenue Buildup'!AB13</f>
        <v>0</v>
      </c>
      <c r="AC22" s="135">
        <f>Assumptions!AC32*'Revenue Buildup'!AC13</f>
        <v>0</v>
      </c>
      <c r="AD22" s="135">
        <f>Assumptions!AD32*'Revenue Buildup'!AD13</f>
        <v>2250</v>
      </c>
      <c r="AE22" s="135">
        <f>Assumptions!AE32*'Revenue Buildup'!AE13</f>
        <v>0</v>
      </c>
      <c r="AF22" s="135">
        <f>Assumptions!AF32*'Revenue Buildup'!AF13</f>
        <v>0</v>
      </c>
      <c r="AG22" s="135">
        <f>Assumptions!AG32*'Revenue Buildup'!AG13</f>
        <v>2250</v>
      </c>
      <c r="AH22" s="135">
        <f>Assumptions!AH32*'Revenue Buildup'!AH13</f>
        <v>0</v>
      </c>
      <c r="AI22" s="135">
        <f>Assumptions!AI32*'Revenue Buildup'!AI13</f>
        <v>0</v>
      </c>
      <c r="AJ22" s="135">
        <f>Assumptions!AJ32*'Revenue Buildup'!AJ13</f>
        <v>2250</v>
      </c>
      <c r="AK22" s="135">
        <f>Assumptions!AK32*'Revenue Buildup'!AK13</f>
        <v>0</v>
      </c>
      <c r="AL22" s="135">
        <f>Assumptions!AL32*'Revenue Buildup'!AL13</f>
        <v>0</v>
      </c>
      <c r="AM22" s="135">
        <f>Assumptions!AM32*'Revenue Buildup'!AM13</f>
        <v>0</v>
      </c>
      <c r="AN22" s="135">
        <f>Assumptions!AN32*'Revenue Buildup'!AN13</f>
        <v>0</v>
      </c>
      <c r="AO22" s="135">
        <f>Assumptions!AO32*'Revenue Buildup'!AO13</f>
        <v>0</v>
      </c>
      <c r="AP22" s="135">
        <f>Assumptions!AP32*'Revenue Buildup'!AP13</f>
        <v>2250</v>
      </c>
      <c r="AQ22" s="135">
        <f>Assumptions!AQ32*'Revenue Buildup'!AQ13</f>
        <v>0</v>
      </c>
      <c r="AR22" s="135">
        <f>Assumptions!AR32*'Revenue Buildup'!AR13</f>
        <v>0</v>
      </c>
      <c r="AS22" s="135">
        <f>Assumptions!AS32*'Revenue Buildup'!AS13</f>
        <v>0</v>
      </c>
      <c r="AT22" s="135">
        <f>Assumptions!AT32*'Revenue Buildup'!AT13</f>
        <v>0</v>
      </c>
      <c r="AU22" s="135">
        <f>Assumptions!AU32*'Revenue Buildup'!AU13</f>
        <v>0</v>
      </c>
      <c r="AV22" s="135">
        <f>Assumptions!AV32*'Revenue Buildup'!AV13</f>
        <v>2250</v>
      </c>
      <c r="AW22" s="135">
        <f>Assumptions!AW32*'Revenue Buildup'!AW13</f>
        <v>0</v>
      </c>
      <c r="AX22" s="135">
        <f>Assumptions!AX32*'Revenue Buildup'!AX13</f>
        <v>0</v>
      </c>
      <c r="AY22" s="135">
        <f>Assumptions!AY32*'Revenue Buildup'!AY13</f>
        <v>0</v>
      </c>
      <c r="AZ22" s="135">
        <f>Assumptions!AZ32*'Revenue Buildup'!AZ13</f>
        <v>2250</v>
      </c>
      <c r="BA22" s="135">
        <f>Assumptions!BA32*'Revenue Buildup'!BA13</f>
        <v>0</v>
      </c>
      <c r="BB22" s="135">
        <f>Assumptions!BB32*'Revenue Buildup'!BB13</f>
        <v>0</v>
      </c>
      <c r="BC22" s="135">
        <f>Assumptions!BC32*'Revenue Buildup'!BC13</f>
        <v>0</v>
      </c>
      <c r="BD22" s="135">
        <f>Assumptions!BD32*'Revenue Buildup'!BD13</f>
        <v>2250</v>
      </c>
      <c r="BE22" s="135">
        <f>Assumptions!BE32*'Revenue Buildup'!BE13</f>
        <v>0</v>
      </c>
      <c r="BF22" s="135">
        <f>Assumptions!BF32*'Revenue Buildup'!BF13</f>
        <v>0</v>
      </c>
      <c r="BG22" s="135">
        <f>Assumptions!BG32*'Revenue Buildup'!BG13</f>
        <v>0</v>
      </c>
      <c r="BH22" s="135">
        <f>Assumptions!BH32*'Revenue Buildup'!BH13</f>
        <v>2250</v>
      </c>
      <c r="BI22" s="135">
        <f>Assumptions!BI32*'Revenue Buildup'!BI13</f>
        <v>0</v>
      </c>
      <c r="BJ22" s="135">
        <f>Assumptions!BJ32*'Revenue Buildup'!BJ13</f>
        <v>2250</v>
      </c>
      <c r="BK22" s="135">
        <f>Assumptions!BK32*'Revenue Buildup'!BK13</f>
        <v>0</v>
      </c>
      <c r="BL22" s="135">
        <f>Assumptions!BL32*'Revenue Buildup'!BL13</f>
        <v>2250</v>
      </c>
      <c r="BM22" s="135">
        <f>Assumptions!BM32*'Revenue Buildup'!BM13</f>
        <v>0</v>
      </c>
      <c r="BN22" s="135">
        <f>Assumptions!BN32*'Revenue Buildup'!BN13</f>
        <v>2250</v>
      </c>
      <c r="BO22" s="135">
        <f>Assumptions!BO32*'Revenue Buildup'!BO13</f>
        <v>0</v>
      </c>
      <c r="BP22" s="135">
        <f>Assumptions!BP32*'Revenue Buildup'!BP13</f>
        <v>2250</v>
      </c>
      <c r="BQ22" s="135">
        <f>Assumptions!BQ32*'Revenue Buildup'!BQ13</f>
        <v>0</v>
      </c>
      <c r="BR22" s="135">
        <f>Assumptions!BR32*'Revenue Buildup'!BR13</f>
        <v>2250</v>
      </c>
      <c r="BS22" s="135">
        <f>Assumptions!BS32*'Revenue Buildup'!BS13</f>
        <v>0</v>
      </c>
      <c r="BT22" s="135">
        <f>Assumptions!BT32*'Revenue Buildup'!BT13</f>
        <v>2250</v>
      </c>
      <c r="BU22" s="35"/>
      <c r="BV22" s="145">
        <f>SUMIF($M$3:$BT$3,BV$3,$M22:$BT22)</f>
        <v>9000</v>
      </c>
      <c r="BW22" s="145">
        <f>SUMIF($M$3:$BT$3,BW$3,$M22:$BT22)</f>
        <v>9000</v>
      </c>
      <c r="BX22" s="145">
        <f>SUMIF($M$3:$BT$3,BX$3,$M22:$BT22)</f>
        <v>4500</v>
      </c>
      <c r="BY22" s="145">
        <f>SUMIF($M$3:$BT$3,BY$3,$M22:$BT22)</f>
        <v>6750</v>
      </c>
      <c r="BZ22" s="145">
        <f>SUMIF($M$3:$BT$3,BZ$3,$M22:$BT22)</f>
        <v>13500</v>
      </c>
    </row>
    <row r="23" spans="1:78" ht="15.6">
      <c r="A23" s="67" t="s">
        <v>119</v>
      </c>
      <c r="M23" s="160">
        <f t="shared" ref="M23:AR23" si="13">SUM(M22:M22)</f>
        <v>0</v>
      </c>
      <c r="N23" s="160">
        <f t="shared" si="13"/>
        <v>0</v>
      </c>
      <c r="O23" s="160">
        <f t="shared" si="13"/>
        <v>2250</v>
      </c>
      <c r="P23" s="160">
        <f t="shared" si="13"/>
        <v>0</v>
      </c>
      <c r="Q23" s="160">
        <f t="shared" si="13"/>
        <v>0</v>
      </c>
      <c r="R23" s="160">
        <f t="shared" si="13"/>
        <v>2250</v>
      </c>
      <c r="S23" s="160">
        <f t="shared" si="13"/>
        <v>0</v>
      </c>
      <c r="T23" s="160">
        <f t="shared" si="13"/>
        <v>0</v>
      </c>
      <c r="U23" s="160">
        <f t="shared" si="13"/>
        <v>2250</v>
      </c>
      <c r="V23" s="160">
        <f t="shared" si="13"/>
        <v>0</v>
      </c>
      <c r="W23" s="160">
        <f t="shared" si="13"/>
        <v>0</v>
      </c>
      <c r="X23" s="160">
        <f t="shared" si="13"/>
        <v>2250</v>
      </c>
      <c r="Y23" s="160">
        <f t="shared" si="13"/>
        <v>0</v>
      </c>
      <c r="Z23" s="160">
        <f t="shared" si="13"/>
        <v>0</v>
      </c>
      <c r="AA23" s="160">
        <f t="shared" si="13"/>
        <v>2250</v>
      </c>
      <c r="AB23" s="160">
        <f t="shared" si="13"/>
        <v>0</v>
      </c>
      <c r="AC23" s="160">
        <f t="shared" si="13"/>
        <v>0</v>
      </c>
      <c r="AD23" s="160">
        <f t="shared" si="13"/>
        <v>2250</v>
      </c>
      <c r="AE23" s="160">
        <f t="shared" si="13"/>
        <v>0</v>
      </c>
      <c r="AF23" s="160">
        <f t="shared" si="13"/>
        <v>0</v>
      </c>
      <c r="AG23" s="160">
        <f t="shared" si="13"/>
        <v>2250</v>
      </c>
      <c r="AH23" s="160">
        <f t="shared" si="13"/>
        <v>0</v>
      </c>
      <c r="AI23" s="160">
        <f t="shared" si="13"/>
        <v>0</v>
      </c>
      <c r="AJ23" s="160">
        <f t="shared" si="13"/>
        <v>2250</v>
      </c>
      <c r="AK23" s="160">
        <f t="shared" si="13"/>
        <v>0</v>
      </c>
      <c r="AL23" s="160">
        <f t="shared" si="13"/>
        <v>0</v>
      </c>
      <c r="AM23" s="160">
        <f t="shared" si="13"/>
        <v>0</v>
      </c>
      <c r="AN23" s="160">
        <f t="shared" si="13"/>
        <v>0</v>
      </c>
      <c r="AO23" s="160">
        <f t="shared" si="13"/>
        <v>0</v>
      </c>
      <c r="AP23" s="160">
        <f t="shared" si="13"/>
        <v>2250</v>
      </c>
      <c r="AQ23" s="160">
        <f t="shared" si="13"/>
        <v>0</v>
      </c>
      <c r="AR23" s="160">
        <f t="shared" si="13"/>
        <v>0</v>
      </c>
      <c r="AS23" s="160">
        <f t="shared" ref="AS23:BX23" si="14">SUM(AS22:AS22)</f>
        <v>0</v>
      </c>
      <c r="AT23" s="160">
        <f t="shared" si="14"/>
        <v>0</v>
      </c>
      <c r="AU23" s="160">
        <f t="shared" si="14"/>
        <v>0</v>
      </c>
      <c r="AV23" s="160">
        <f t="shared" si="14"/>
        <v>2250</v>
      </c>
      <c r="AW23" s="160">
        <f t="shared" si="14"/>
        <v>0</v>
      </c>
      <c r="AX23" s="160">
        <f t="shared" si="14"/>
        <v>0</v>
      </c>
      <c r="AY23" s="160">
        <f t="shared" si="14"/>
        <v>0</v>
      </c>
      <c r="AZ23" s="160">
        <f t="shared" si="14"/>
        <v>2250</v>
      </c>
      <c r="BA23" s="160">
        <f t="shared" si="14"/>
        <v>0</v>
      </c>
      <c r="BB23" s="160">
        <f t="shared" si="14"/>
        <v>0</v>
      </c>
      <c r="BC23" s="160">
        <f t="shared" si="14"/>
        <v>0</v>
      </c>
      <c r="BD23" s="160">
        <f t="shared" si="14"/>
        <v>2250</v>
      </c>
      <c r="BE23" s="160">
        <f t="shared" si="14"/>
        <v>0</v>
      </c>
      <c r="BF23" s="160">
        <f t="shared" si="14"/>
        <v>0</v>
      </c>
      <c r="BG23" s="160">
        <f t="shared" si="14"/>
        <v>0</v>
      </c>
      <c r="BH23" s="160">
        <f t="shared" si="14"/>
        <v>2250</v>
      </c>
      <c r="BI23" s="160">
        <f t="shared" si="14"/>
        <v>0</v>
      </c>
      <c r="BJ23" s="160">
        <f t="shared" si="14"/>
        <v>2250</v>
      </c>
      <c r="BK23" s="160">
        <f t="shared" si="14"/>
        <v>0</v>
      </c>
      <c r="BL23" s="160">
        <f t="shared" si="14"/>
        <v>2250</v>
      </c>
      <c r="BM23" s="160">
        <f t="shared" si="14"/>
        <v>0</v>
      </c>
      <c r="BN23" s="160">
        <f t="shared" si="14"/>
        <v>2250</v>
      </c>
      <c r="BO23" s="160">
        <f t="shared" si="14"/>
        <v>0</v>
      </c>
      <c r="BP23" s="160">
        <f t="shared" si="14"/>
        <v>2250</v>
      </c>
      <c r="BQ23" s="160">
        <f t="shared" si="14"/>
        <v>0</v>
      </c>
      <c r="BR23" s="160">
        <f t="shared" si="14"/>
        <v>2250</v>
      </c>
      <c r="BS23" s="160">
        <f t="shared" si="14"/>
        <v>0</v>
      </c>
      <c r="BT23" s="160">
        <f t="shared" si="14"/>
        <v>2250</v>
      </c>
      <c r="BU23" s="35"/>
      <c r="BV23" s="145"/>
      <c r="BW23" s="145"/>
      <c r="BX23" s="145"/>
      <c r="BY23" s="145"/>
      <c r="BZ23" s="145"/>
    </row>
    <row r="24" spans="1:78" ht="15.6">
      <c r="A24" s="142" t="str">
        <f>Assumptions!A35</f>
        <v>Sales Team-Headcount</v>
      </c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35"/>
    </row>
    <row r="25" spans="1:78" ht="15.6">
      <c r="A25" s="146" t="str">
        <f>Assumptions!A36</f>
        <v>Client Success Manager</v>
      </c>
      <c r="B25" s="87"/>
      <c r="C25" s="87" t="s">
        <v>115</v>
      </c>
      <c r="D25" s="87"/>
      <c r="E25" s="87"/>
      <c r="F25" s="147" t="str">
        <f>Assumptions!F36</f>
        <v>Qualified Leads/CSM/Month</v>
      </c>
      <c r="G25" s="148">
        <f>Assumptions!G36</f>
        <v>10</v>
      </c>
      <c r="H25" s="148">
        <f>Assumptions!H36</f>
        <v>10</v>
      </c>
      <c r="I25" s="87"/>
      <c r="J25" s="87"/>
      <c r="K25" s="87"/>
      <c r="L25" s="87"/>
      <c r="M25" s="161">
        <f>Assumptions!M36</f>
        <v>10</v>
      </c>
      <c r="N25" s="161">
        <f>Assumptions!N36</f>
        <v>10</v>
      </c>
      <c r="O25" s="161">
        <f>Assumptions!O36</f>
        <v>10</v>
      </c>
      <c r="P25" s="161">
        <f>Assumptions!P36</f>
        <v>10</v>
      </c>
      <c r="Q25" s="161">
        <f>Assumptions!Q36</f>
        <v>10</v>
      </c>
      <c r="R25" s="161">
        <f>Assumptions!R36</f>
        <v>10</v>
      </c>
      <c r="S25" s="161">
        <f>Assumptions!S36</f>
        <v>10</v>
      </c>
      <c r="T25" s="161">
        <f>Assumptions!T36</f>
        <v>10</v>
      </c>
      <c r="U25" s="161">
        <f>Assumptions!U36</f>
        <v>10</v>
      </c>
      <c r="V25" s="161">
        <f>Assumptions!V36</f>
        <v>10</v>
      </c>
      <c r="W25" s="161">
        <f>Assumptions!W36</f>
        <v>10</v>
      </c>
      <c r="X25" s="161">
        <f>Assumptions!X36</f>
        <v>10</v>
      </c>
      <c r="Y25" s="161">
        <f>Assumptions!Y36</f>
        <v>10</v>
      </c>
      <c r="Z25" s="161">
        <f>Assumptions!Z36</f>
        <v>10</v>
      </c>
      <c r="AA25" s="161">
        <f>Assumptions!AA36</f>
        <v>10</v>
      </c>
      <c r="AB25" s="161">
        <f>Assumptions!AB36</f>
        <v>10</v>
      </c>
      <c r="AC25" s="161">
        <f>Assumptions!AC36</f>
        <v>10</v>
      </c>
      <c r="AD25" s="161">
        <f>Assumptions!AD36</f>
        <v>10</v>
      </c>
      <c r="AE25" s="161">
        <f>Assumptions!AE36</f>
        <v>10</v>
      </c>
      <c r="AF25" s="161">
        <f>Assumptions!AF36</f>
        <v>10</v>
      </c>
      <c r="AG25" s="161">
        <f>Assumptions!AG36</f>
        <v>10</v>
      </c>
      <c r="AH25" s="161">
        <f>Assumptions!AH36</f>
        <v>10</v>
      </c>
      <c r="AI25" s="161">
        <f>Assumptions!AI36</f>
        <v>10</v>
      </c>
      <c r="AJ25" s="161">
        <f>Assumptions!AJ36</f>
        <v>10</v>
      </c>
      <c r="AK25" s="161">
        <f>Assumptions!AK36</f>
        <v>10</v>
      </c>
      <c r="AL25" s="161">
        <f>Assumptions!AL36</f>
        <v>10</v>
      </c>
      <c r="AM25" s="161">
        <f>Assumptions!AM36</f>
        <v>10</v>
      </c>
      <c r="AN25" s="161">
        <f>Assumptions!AN36</f>
        <v>10</v>
      </c>
      <c r="AO25" s="161">
        <f>Assumptions!AO36</f>
        <v>10</v>
      </c>
      <c r="AP25" s="161">
        <f>Assumptions!AP36</f>
        <v>10</v>
      </c>
      <c r="AQ25" s="161">
        <f>Assumptions!AQ36</f>
        <v>10</v>
      </c>
      <c r="AR25" s="161">
        <f>Assumptions!AR36</f>
        <v>10</v>
      </c>
      <c r="AS25" s="161">
        <f>Assumptions!AS36</f>
        <v>10</v>
      </c>
      <c r="AT25" s="161">
        <f>Assumptions!AT36</f>
        <v>10</v>
      </c>
      <c r="AU25" s="161">
        <f>Assumptions!AU36</f>
        <v>10</v>
      </c>
      <c r="AV25" s="161">
        <f>Assumptions!AV36</f>
        <v>10</v>
      </c>
      <c r="AW25" s="161">
        <f>Assumptions!AW36</f>
        <v>10</v>
      </c>
      <c r="AX25" s="161">
        <f>Assumptions!AX36</f>
        <v>10</v>
      </c>
      <c r="AY25" s="161">
        <f>Assumptions!AY36</f>
        <v>10</v>
      </c>
      <c r="AZ25" s="161">
        <f>Assumptions!AZ36</f>
        <v>10</v>
      </c>
      <c r="BA25" s="161">
        <f>Assumptions!BA36</f>
        <v>10</v>
      </c>
      <c r="BB25" s="161">
        <f>Assumptions!BB36</f>
        <v>10</v>
      </c>
      <c r="BC25" s="161">
        <f>Assumptions!BC36</f>
        <v>10</v>
      </c>
      <c r="BD25" s="161">
        <f>Assumptions!BD36</f>
        <v>10</v>
      </c>
      <c r="BE25" s="161">
        <f>Assumptions!BE36</f>
        <v>10</v>
      </c>
      <c r="BF25" s="161">
        <f>Assumptions!BF36</f>
        <v>10</v>
      </c>
      <c r="BG25" s="161">
        <f>Assumptions!BG36</f>
        <v>10</v>
      </c>
      <c r="BH25" s="161">
        <f>Assumptions!BH36</f>
        <v>10</v>
      </c>
      <c r="BI25" s="161">
        <f>Assumptions!BI36</f>
        <v>10</v>
      </c>
      <c r="BJ25" s="161">
        <f>Assumptions!BJ36</f>
        <v>10</v>
      </c>
      <c r="BK25" s="161">
        <f>Assumptions!BK36</f>
        <v>10</v>
      </c>
      <c r="BL25" s="161">
        <f>Assumptions!BL36</f>
        <v>10</v>
      </c>
      <c r="BM25" s="161">
        <f>Assumptions!BM36</f>
        <v>10</v>
      </c>
      <c r="BN25" s="161">
        <f>Assumptions!BN36</f>
        <v>10</v>
      </c>
      <c r="BO25" s="161">
        <f>Assumptions!BO36</f>
        <v>10</v>
      </c>
      <c r="BP25" s="161">
        <f>Assumptions!BP36</f>
        <v>10</v>
      </c>
      <c r="BQ25" s="161">
        <f>Assumptions!BQ36</f>
        <v>10</v>
      </c>
      <c r="BR25" s="161">
        <f>Assumptions!BR36</f>
        <v>10</v>
      </c>
      <c r="BS25" s="161">
        <f>Assumptions!BS36</f>
        <v>10</v>
      </c>
      <c r="BT25" s="161">
        <f>Assumptions!BT36</f>
        <v>10</v>
      </c>
      <c r="BU25" s="35"/>
    </row>
    <row r="26" spans="1:78">
      <c r="M26" s="109">
        <f t="shared" ref="M26:AR26" si="15">ROUND(M19/M25,0)</f>
        <v>1</v>
      </c>
      <c r="N26" s="109">
        <f t="shared" si="15"/>
        <v>1</v>
      </c>
      <c r="O26" s="109">
        <f t="shared" si="15"/>
        <v>1</v>
      </c>
      <c r="P26" s="109">
        <f t="shared" si="15"/>
        <v>1</v>
      </c>
      <c r="Q26" s="109">
        <f t="shared" si="15"/>
        <v>1</v>
      </c>
      <c r="R26" s="109">
        <f t="shared" si="15"/>
        <v>1</v>
      </c>
      <c r="S26" s="109">
        <f t="shared" si="15"/>
        <v>1</v>
      </c>
      <c r="T26" s="109">
        <f t="shared" si="15"/>
        <v>1</v>
      </c>
      <c r="U26" s="109">
        <f t="shared" si="15"/>
        <v>1</v>
      </c>
      <c r="V26" s="109">
        <f t="shared" si="15"/>
        <v>1</v>
      </c>
      <c r="W26" s="109">
        <f t="shared" si="15"/>
        <v>1</v>
      </c>
      <c r="X26" s="109">
        <f t="shared" si="15"/>
        <v>1</v>
      </c>
      <c r="Y26" s="109">
        <f t="shared" si="15"/>
        <v>1</v>
      </c>
      <c r="Z26" s="109">
        <f t="shared" si="15"/>
        <v>1</v>
      </c>
      <c r="AA26" s="109">
        <f t="shared" si="15"/>
        <v>1</v>
      </c>
      <c r="AB26" s="109">
        <f t="shared" si="15"/>
        <v>1</v>
      </c>
      <c r="AC26" s="109">
        <f t="shared" si="15"/>
        <v>1</v>
      </c>
      <c r="AD26" s="109">
        <f t="shared" si="15"/>
        <v>1</v>
      </c>
      <c r="AE26" s="109">
        <f t="shared" si="15"/>
        <v>1</v>
      </c>
      <c r="AF26" s="109">
        <f t="shared" si="15"/>
        <v>1</v>
      </c>
      <c r="AG26" s="109">
        <f t="shared" si="15"/>
        <v>1</v>
      </c>
      <c r="AH26" s="109">
        <f t="shared" si="15"/>
        <v>1</v>
      </c>
      <c r="AI26" s="109">
        <f t="shared" si="15"/>
        <v>1</v>
      </c>
      <c r="AJ26" s="109">
        <f t="shared" si="15"/>
        <v>1</v>
      </c>
      <c r="AK26" s="109">
        <f t="shared" si="15"/>
        <v>1</v>
      </c>
      <c r="AL26" s="109">
        <f t="shared" si="15"/>
        <v>1</v>
      </c>
      <c r="AM26" s="109">
        <f t="shared" si="15"/>
        <v>1</v>
      </c>
      <c r="AN26" s="109">
        <f t="shared" si="15"/>
        <v>1</v>
      </c>
      <c r="AO26" s="109">
        <f t="shared" si="15"/>
        <v>1</v>
      </c>
      <c r="AP26" s="109">
        <f t="shared" si="15"/>
        <v>1</v>
      </c>
      <c r="AQ26" s="109">
        <f t="shared" si="15"/>
        <v>1</v>
      </c>
      <c r="AR26" s="109">
        <f t="shared" si="15"/>
        <v>1</v>
      </c>
      <c r="AS26" s="109">
        <f t="shared" ref="AS26:BX26" si="16">ROUND(AS19/AS25,0)</f>
        <v>1</v>
      </c>
      <c r="AT26" s="109">
        <f t="shared" si="16"/>
        <v>1</v>
      </c>
      <c r="AU26" s="109">
        <f t="shared" si="16"/>
        <v>1</v>
      </c>
      <c r="AV26" s="109">
        <f t="shared" si="16"/>
        <v>1</v>
      </c>
      <c r="AW26" s="109">
        <f t="shared" si="16"/>
        <v>1</v>
      </c>
      <c r="AX26" s="109">
        <f t="shared" si="16"/>
        <v>1</v>
      </c>
      <c r="AY26" s="109">
        <f t="shared" si="16"/>
        <v>1</v>
      </c>
      <c r="AZ26" s="109">
        <f t="shared" si="16"/>
        <v>1</v>
      </c>
      <c r="BA26" s="109">
        <f t="shared" si="16"/>
        <v>1</v>
      </c>
      <c r="BB26" s="109">
        <f t="shared" si="16"/>
        <v>1</v>
      </c>
      <c r="BC26" s="109">
        <f t="shared" si="16"/>
        <v>1</v>
      </c>
      <c r="BD26" s="109">
        <f t="shared" si="16"/>
        <v>1</v>
      </c>
      <c r="BE26" s="109">
        <f t="shared" si="16"/>
        <v>1</v>
      </c>
      <c r="BF26" s="109">
        <f t="shared" si="16"/>
        <v>1</v>
      </c>
      <c r="BG26" s="109">
        <f t="shared" si="16"/>
        <v>1</v>
      </c>
      <c r="BH26" s="109">
        <f t="shared" si="16"/>
        <v>1</v>
      </c>
      <c r="BI26" s="109">
        <f t="shared" si="16"/>
        <v>1</v>
      </c>
      <c r="BJ26" s="109">
        <f t="shared" si="16"/>
        <v>1</v>
      </c>
      <c r="BK26" s="109">
        <f t="shared" si="16"/>
        <v>1</v>
      </c>
      <c r="BL26" s="109">
        <f t="shared" si="16"/>
        <v>1</v>
      </c>
      <c r="BM26" s="109">
        <f t="shared" si="16"/>
        <v>1</v>
      </c>
      <c r="BN26" s="109">
        <f t="shared" si="16"/>
        <v>1</v>
      </c>
      <c r="BO26" s="109">
        <f t="shared" si="16"/>
        <v>1</v>
      </c>
      <c r="BP26" s="109">
        <f t="shared" si="16"/>
        <v>1</v>
      </c>
      <c r="BQ26" s="109">
        <f t="shared" si="16"/>
        <v>1</v>
      </c>
      <c r="BR26" s="109">
        <f t="shared" si="16"/>
        <v>1</v>
      </c>
      <c r="BS26" s="109">
        <f t="shared" si="16"/>
        <v>1</v>
      </c>
      <c r="BT26" s="109">
        <f t="shared" si="16"/>
        <v>1</v>
      </c>
      <c r="BU26" s="35"/>
    </row>
    <row r="27" spans="1:78" ht="15.6">
      <c r="A27" s="142" t="str">
        <f>Assumptions!A38</f>
        <v>Sales Team Salaries</v>
      </c>
      <c r="BU27" s="35"/>
    </row>
    <row r="28" spans="1:78" ht="15.6">
      <c r="A28" s="144" t="str">
        <f>Assumptions!A39</f>
        <v>Client Success Manager</v>
      </c>
      <c r="F28" s="152" t="str">
        <f>Assumptions!F39</f>
        <v>Monthly Salary/Headcount</v>
      </c>
      <c r="G28" s="57">
        <f>Assumptions!G39</f>
        <v>1200</v>
      </c>
      <c r="H28" s="75">
        <f>Assumptions!H39</f>
        <v>0.05</v>
      </c>
      <c r="I28" s="144" t="str">
        <f>Assumptions!I39</f>
        <v>Annual Increment</v>
      </c>
      <c r="M28" s="162">
        <f t="shared" ref="M28:AR28" si="17">($G28*M26)*(1+$H28)^(M$3-1)</f>
        <v>1200</v>
      </c>
      <c r="N28" s="162">
        <f t="shared" si="17"/>
        <v>1200</v>
      </c>
      <c r="O28" s="162">
        <f t="shared" si="17"/>
        <v>1200</v>
      </c>
      <c r="P28" s="162">
        <f t="shared" si="17"/>
        <v>1200</v>
      </c>
      <c r="Q28" s="162">
        <f t="shared" si="17"/>
        <v>1200</v>
      </c>
      <c r="R28" s="162">
        <f t="shared" si="17"/>
        <v>1200</v>
      </c>
      <c r="S28" s="162">
        <f t="shared" si="17"/>
        <v>1200</v>
      </c>
      <c r="T28" s="162">
        <f t="shared" si="17"/>
        <v>1200</v>
      </c>
      <c r="U28" s="162">
        <f t="shared" si="17"/>
        <v>1200</v>
      </c>
      <c r="V28" s="162">
        <f t="shared" si="17"/>
        <v>1200</v>
      </c>
      <c r="W28" s="162">
        <f t="shared" si="17"/>
        <v>1200</v>
      </c>
      <c r="X28" s="162">
        <f t="shared" si="17"/>
        <v>1200</v>
      </c>
      <c r="Y28" s="162">
        <f t="shared" si="17"/>
        <v>1260</v>
      </c>
      <c r="Z28" s="162">
        <f t="shared" si="17"/>
        <v>1260</v>
      </c>
      <c r="AA28" s="162">
        <f t="shared" si="17"/>
        <v>1260</v>
      </c>
      <c r="AB28" s="162">
        <f t="shared" si="17"/>
        <v>1260</v>
      </c>
      <c r="AC28" s="162">
        <f t="shared" si="17"/>
        <v>1260</v>
      </c>
      <c r="AD28" s="162">
        <f t="shared" si="17"/>
        <v>1260</v>
      </c>
      <c r="AE28" s="162">
        <f t="shared" si="17"/>
        <v>1260</v>
      </c>
      <c r="AF28" s="162">
        <f t="shared" si="17"/>
        <v>1260</v>
      </c>
      <c r="AG28" s="162">
        <f t="shared" si="17"/>
        <v>1260</v>
      </c>
      <c r="AH28" s="162">
        <f t="shared" si="17"/>
        <v>1260</v>
      </c>
      <c r="AI28" s="162">
        <f t="shared" si="17"/>
        <v>1260</v>
      </c>
      <c r="AJ28" s="162">
        <f t="shared" si="17"/>
        <v>1260</v>
      </c>
      <c r="AK28" s="162">
        <f t="shared" si="17"/>
        <v>1323</v>
      </c>
      <c r="AL28" s="162">
        <f t="shared" si="17"/>
        <v>1323</v>
      </c>
      <c r="AM28" s="162">
        <f t="shared" si="17"/>
        <v>1323</v>
      </c>
      <c r="AN28" s="162">
        <f t="shared" si="17"/>
        <v>1323</v>
      </c>
      <c r="AO28" s="162">
        <f t="shared" si="17"/>
        <v>1323</v>
      </c>
      <c r="AP28" s="162">
        <f t="shared" si="17"/>
        <v>1323</v>
      </c>
      <c r="AQ28" s="162">
        <f t="shared" si="17"/>
        <v>1323</v>
      </c>
      <c r="AR28" s="162">
        <f t="shared" si="17"/>
        <v>1323</v>
      </c>
      <c r="AS28" s="162">
        <f t="shared" ref="AS28:BT28" si="18">($G28*AS26)*(1+$H28)^(AS$3-1)</f>
        <v>1323</v>
      </c>
      <c r="AT28" s="162">
        <f t="shared" si="18"/>
        <v>1323</v>
      </c>
      <c r="AU28" s="162">
        <f t="shared" si="18"/>
        <v>1323</v>
      </c>
      <c r="AV28" s="162">
        <f t="shared" si="18"/>
        <v>1323</v>
      </c>
      <c r="AW28" s="162">
        <f t="shared" si="18"/>
        <v>1389.15</v>
      </c>
      <c r="AX28" s="162">
        <f t="shared" si="18"/>
        <v>1389.15</v>
      </c>
      <c r="AY28" s="162">
        <f t="shared" si="18"/>
        <v>1389.15</v>
      </c>
      <c r="AZ28" s="162">
        <f t="shared" si="18"/>
        <v>1389.15</v>
      </c>
      <c r="BA28" s="162">
        <f t="shared" si="18"/>
        <v>1389.15</v>
      </c>
      <c r="BB28" s="162">
        <f t="shared" si="18"/>
        <v>1389.15</v>
      </c>
      <c r="BC28" s="162">
        <f t="shared" si="18"/>
        <v>1389.15</v>
      </c>
      <c r="BD28" s="162">
        <f t="shared" si="18"/>
        <v>1389.15</v>
      </c>
      <c r="BE28" s="162">
        <f t="shared" si="18"/>
        <v>1389.15</v>
      </c>
      <c r="BF28" s="162">
        <f t="shared" si="18"/>
        <v>1389.15</v>
      </c>
      <c r="BG28" s="162">
        <f t="shared" si="18"/>
        <v>1389.15</v>
      </c>
      <c r="BH28" s="162">
        <f t="shared" si="18"/>
        <v>1389.15</v>
      </c>
      <c r="BI28" s="162">
        <f t="shared" si="18"/>
        <v>1458.6075000000001</v>
      </c>
      <c r="BJ28" s="162">
        <f t="shared" si="18"/>
        <v>1458.6075000000001</v>
      </c>
      <c r="BK28" s="162">
        <f t="shared" si="18"/>
        <v>1458.6075000000001</v>
      </c>
      <c r="BL28" s="162">
        <f t="shared" si="18"/>
        <v>1458.6075000000001</v>
      </c>
      <c r="BM28" s="162">
        <f t="shared" si="18"/>
        <v>1458.6075000000001</v>
      </c>
      <c r="BN28" s="162">
        <f t="shared" si="18"/>
        <v>1458.6075000000001</v>
      </c>
      <c r="BO28" s="162">
        <f t="shared" si="18"/>
        <v>1458.6075000000001</v>
      </c>
      <c r="BP28" s="162">
        <f t="shared" si="18"/>
        <v>1458.6075000000001</v>
      </c>
      <c r="BQ28" s="162">
        <f t="shared" si="18"/>
        <v>1458.6075000000001</v>
      </c>
      <c r="BR28" s="162">
        <f t="shared" si="18"/>
        <v>1458.6075000000001</v>
      </c>
      <c r="BS28" s="162">
        <f t="shared" si="18"/>
        <v>1458.6075000000001</v>
      </c>
      <c r="BT28" s="162">
        <f t="shared" si="18"/>
        <v>1458.6075000000001</v>
      </c>
      <c r="BU28" s="35"/>
      <c r="BV28" s="145">
        <f t="shared" ref="BV28:BZ30" si="19">SUMIF($M$3:$BT$3,BV$3,$M28:$BT28)</f>
        <v>14400</v>
      </c>
      <c r="BW28" s="145">
        <f t="shared" si="19"/>
        <v>15120</v>
      </c>
      <c r="BX28" s="145">
        <f t="shared" si="19"/>
        <v>15876</v>
      </c>
      <c r="BY28" s="145">
        <f t="shared" si="19"/>
        <v>16669.8</v>
      </c>
      <c r="BZ28" s="145">
        <f t="shared" si="19"/>
        <v>17503.29</v>
      </c>
    </row>
    <row r="29" spans="1:78" ht="15.6">
      <c r="A29" s="67" t="s">
        <v>120</v>
      </c>
      <c r="F29" s="163"/>
      <c r="G29" s="52"/>
      <c r="H29" s="164"/>
      <c r="I29" s="97"/>
      <c r="M29" s="165">
        <f t="shared" ref="M29:AR29" si="20">SUM(M28:M28)</f>
        <v>1200</v>
      </c>
      <c r="N29" s="165">
        <f t="shared" si="20"/>
        <v>1200</v>
      </c>
      <c r="O29" s="165">
        <f t="shared" si="20"/>
        <v>1200</v>
      </c>
      <c r="P29" s="165">
        <f t="shared" si="20"/>
        <v>1200</v>
      </c>
      <c r="Q29" s="165">
        <f t="shared" si="20"/>
        <v>1200</v>
      </c>
      <c r="R29" s="165">
        <f t="shared" si="20"/>
        <v>1200</v>
      </c>
      <c r="S29" s="165">
        <f t="shared" si="20"/>
        <v>1200</v>
      </c>
      <c r="T29" s="165">
        <f t="shared" si="20"/>
        <v>1200</v>
      </c>
      <c r="U29" s="165">
        <f t="shared" si="20"/>
        <v>1200</v>
      </c>
      <c r="V29" s="165">
        <f t="shared" si="20"/>
        <v>1200</v>
      </c>
      <c r="W29" s="165">
        <f t="shared" si="20"/>
        <v>1200</v>
      </c>
      <c r="X29" s="165">
        <f t="shared" si="20"/>
        <v>1200</v>
      </c>
      <c r="Y29" s="165">
        <f t="shared" si="20"/>
        <v>1260</v>
      </c>
      <c r="Z29" s="165">
        <f t="shared" si="20"/>
        <v>1260</v>
      </c>
      <c r="AA29" s="165">
        <f t="shared" si="20"/>
        <v>1260</v>
      </c>
      <c r="AB29" s="165">
        <f t="shared" si="20"/>
        <v>1260</v>
      </c>
      <c r="AC29" s="165">
        <f t="shared" si="20"/>
        <v>1260</v>
      </c>
      <c r="AD29" s="165">
        <f t="shared" si="20"/>
        <v>1260</v>
      </c>
      <c r="AE29" s="165">
        <f t="shared" si="20"/>
        <v>1260</v>
      </c>
      <c r="AF29" s="165">
        <f t="shared" si="20"/>
        <v>1260</v>
      </c>
      <c r="AG29" s="165">
        <f t="shared" si="20"/>
        <v>1260</v>
      </c>
      <c r="AH29" s="165">
        <f t="shared" si="20"/>
        <v>1260</v>
      </c>
      <c r="AI29" s="165">
        <f t="shared" si="20"/>
        <v>1260</v>
      </c>
      <c r="AJ29" s="165">
        <f t="shared" si="20"/>
        <v>1260</v>
      </c>
      <c r="AK29" s="165">
        <f t="shared" si="20"/>
        <v>1323</v>
      </c>
      <c r="AL29" s="165">
        <f t="shared" si="20"/>
        <v>1323</v>
      </c>
      <c r="AM29" s="165">
        <f t="shared" si="20"/>
        <v>1323</v>
      </c>
      <c r="AN29" s="165">
        <f t="shared" si="20"/>
        <v>1323</v>
      </c>
      <c r="AO29" s="165">
        <f t="shared" si="20"/>
        <v>1323</v>
      </c>
      <c r="AP29" s="165">
        <f t="shared" si="20"/>
        <v>1323</v>
      </c>
      <c r="AQ29" s="165">
        <f t="shared" si="20"/>
        <v>1323</v>
      </c>
      <c r="AR29" s="165">
        <f t="shared" si="20"/>
        <v>1323</v>
      </c>
      <c r="AS29" s="165">
        <f t="shared" ref="AS29:BX29" si="21">SUM(AS28:AS28)</f>
        <v>1323</v>
      </c>
      <c r="AT29" s="165">
        <f t="shared" si="21"/>
        <v>1323</v>
      </c>
      <c r="AU29" s="165">
        <f t="shared" si="21"/>
        <v>1323</v>
      </c>
      <c r="AV29" s="165">
        <f t="shared" si="21"/>
        <v>1323</v>
      </c>
      <c r="AW29" s="165">
        <f t="shared" si="21"/>
        <v>1389.15</v>
      </c>
      <c r="AX29" s="165">
        <f t="shared" si="21"/>
        <v>1389.15</v>
      </c>
      <c r="AY29" s="165">
        <f t="shared" si="21"/>
        <v>1389.15</v>
      </c>
      <c r="AZ29" s="165">
        <f t="shared" si="21"/>
        <v>1389.15</v>
      </c>
      <c r="BA29" s="165">
        <f t="shared" si="21"/>
        <v>1389.15</v>
      </c>
      <c r="BB29" s="165">
        <f t="shared" si="21"/>
        <v>1389.15</v>
      </c>
      <c r="BC29" s="165">
        <f t="shared" si="21"/>
        <v>1389.15</v>
      </c>
      <c r="BD29" s="165">
        <f t="shared" si="21"/>
        <v>1389.15</v>
      </c>
      <c r="BE29" s="165">
        <f t="shared" si="21"/>
        <v>1389.15</v>
      </c>
      <c r="BF29" s="165">
        <f t="shared" si="21"/>
        <v>1389.15</v>
      </c>
      <c r="BG29" s="165">
        <f t="shared" si="21"/>
        <v>1389.15</v>
      </c>
      <c r="BH29" s="165">
        <f t="shared" si="21"/>
        <v>1389.15</v>
      </c>
      <c r="BI29" s="165">
        <f t="shared" si="21"/>
        <v>1458.6075000000001</v>
      </c>
      <c r="BJ29" s="165">
        <f t="shared" si="21"/>
        <v>1458.6075000000001</v>
      </c>
      <c r="BK29" s="165">
        <f t="shared" si="21"/>
        <v>1458.6075000000001</v>
      </c>
      <c r="BL29" s="165">
        <f t="shared" si="21"/>
        <v>1458.6075000000001</v>
      </c>
      <c r="BM29" s="165">
        <f t="shared" si="21"/>
        <v>1458.6075000000001</v>
      </c>
      <c r="BN29" s="165">
        <f t="shared" si="21"/>
        <v>1458.6075000000001</v>
      </c>
      <c r="BO29" s="165">
        <f t="shared" si="21"/>
        <v>1458.6075000000001</v>
      </c>
      <c r="BP29" s="165">
        <f t="shared" si="21"/>
        <v>1458.6075000000001</v>
      </c>
      <c r="BQ29" s="165">
        <f t="shared" si="21"/>
        <v>1458.6075000000001</v>
      </c>
      <c r="BR29" s="165">
        <f t="shared" si="21"/>
        <v>1458.6075000000001</v>
      </c>
      <c r="BS29" s="165">
        <f t="shared" si="21"/>
        <v>1458.6075000000001</v>
      </c>
      <c r="BT29" s="165">
        <f t="shared" si="21"/>
        <v>1458.6075000000001</v>
      </c>
      <c r="BU29" s="35"/>
      <c r="BV29" s="160">
        <f t="shared" si="19"/>
        <v>14400</v>
      </c>
      <c r="BW29" s="160">
        <f t="shared" si="19"/>
        <v>15120</v>
      </c>
      <c r="BX29" s="160">
        <f t="shared" si="19"/>
        <v>15876</v>
      </c>
      <c r="BY29" s="160">
        <f t="shared" si="19"/>
        <v>16669.8</v>
      </c>
      <c r="BZ29" s="160">
        <f t="shared" si="19"/>
        <v>17503.29</v>
      </c>
    </row>
    <row r="30" spans="1:78" ht="15.6">
      <c r="A30" s="67" t="s">
        <v>121</v>
      </c>
      <c r="M30" s="166">
        <f t="shared" ref="M30:AR30" si="22">SUM(M17,M20,M23,M29)</f>
        <v>4800</v>
      </c>
      <c r="N30" s="166">
        <f t="shared" si="22"/>
        <v>4800</v>
      </c>
      <c r="O30" s="166">
        <f t="shared" si="22"/>
        <v>7050</v>
      </c>
      <c r="P30" s="166">
        <f t="shared" si="22"/>
        <v>4800</v>
      </c>
      <c r="Q30" s="166">
        <f t="shared" si="22"/>
        <v>4800</v>
      </c>
      <c r="R30" s="166">
        <f t="shared" si="22"/>
        <v>7050</v>
      </c>
      <c r="S30" s="166">
        <f t="shared" si="22"/>
        <v>4800</v>
      </c>
      <c r="T30" s="166">
        <f t="shared" si="22"/>
        <v>4800</v>
      </c>
      <c r="U30" s="166">
        <f t="shared" si="22"/>
        <v>7050</v>
      </c>
      <c r="V30" s="166">
        <f t="shared" si="22"/>
        <v>4800</v>
      </c>
      <c r="W30" s="166">
        <f t="shared" si="22"/>
        <v>4800</v>
      </c>
      <c r="X30" s="166">
        <f t="shared" si="22"/>
        <v>7050</v>
      </c>
      <c r="Y30" s="166">
        <f t="shared" si="22"/>
        <v>4860</v>
      </c>
      <c r="Z30" s="166">
        <f t="shared" si="22"/>
        <v>4860</v>
      </c>
      <c r="AA30" s="166">
        <f t="shared" si="22"/>
        <v>7110</v>
      </c>
      <c r="AB30" s="166">
        <f t="shared" si="22"/>
        <v>4860</v>
      </c>
      <c r="AC30" s="166">
        <f t="shared" si="22"/>
        <v>4860</v>
      </c>
      <c r="AD30" s="166">
        <f t="shared" si="22"/>
        <v>7110</v>
      </c>
      <c r="AE30" s="166">
        <f t="shared" si="22"/>
        <v>4860</v>
      </c>
      <c r="AF30" s="166">
        <f t="shared" si="22"/>
        <v>4860</v>
      </c>
      <c r="AG30" s="166">
        <f t="shared" si="22"/>
        <v>7110</v>
      </c>
      <c r="AH30" s="166">
        <f t="shared" si="22"/>
        <v>4860</v>
      </c>
      <c r="AI30" s="166">
        <f t="shared" si="22"/>
        <v>4860</v>
      </c>
      <c r="AJ30" s="166">
        <f t="shared" si="22"/>
        <v>7110</v>
      </c>
      <c r="AK30" s="166">
        <f t="shared" si="22"/>
        <v>4923</v>
      </c>
      <c r="AL30" s="166">
        <f t="shared" si="22"/>
        <v>4923</v>
      </c>
      <c r="AM30" s="166">
        <f t="shared" si="22"/>
        <v>4923</v>
      </c>
      <c r="AN30" s="166">
        <f t="shared" si="22"/>
        <v>4923</v>
      </c>
      <c r="AO30" s="166">
        <f t="shared" si="22"/>
        <v>4923</v>
      </c>
      <c r="AP30" s="166">
        <f t="shared" si="22"/>
        <v>7173</v>
      </c>
      <c r="AQ30" s="166">
        <f t="shared" si="22"/>
        <v>4923</v>
      </c>
      <c r="AR30" s="166">
        <f t="shared" si="22"/>
        <v>4923</v>
      </c>
      <c r="AS30" s="166">
        <f t="shared" ref="AS30:BX30" si="23">SUM(AS17,AS20,AS23,AS29)</f>
        <v>4923</v>
      </c>
      <c r="AT30" s="166">
        <f t="shared" si="23"/>
        <v>4923</v>
      </c>
      <c r="AU30" s="166">
        <f t="shared" si="23"/>
        <v>4923</v>
      </c>
      <c r="AV30" s="166">
        <f t="shared" si="23"/>
        <v>7173</v>
      </c>
      <c r="AW30" s="166">
        <f t="shared" si="23"/>
        <v>4989.1499999999996</v>
      </c>
      <c r="AX30" s="166">
        <f t="shared" si="23"/>
        <v>4989.1499999999996</v>
      </c>
      <c r="AY30" s="166">
        <f t="shared" si="23"/>
        <v>4989.1499999999996</v>
      </c>
      <c r="AZ30" s="166">
        <f t="shared" si="23"/>
        <v>7239.15</v>
      </c>
      <c r="BA30" s="166">
        <f t="shared" si="23"/>
        <v>4989.1499999999996</v>
      </c>
      <c r="BB30" s="166">
        <f t="shared" si="23"/>
        <v>4989.1499999999996</v>
      </c>
      <c r="BC30" s="166">
        <f t="shared" si="23"/>
        <v>4989.1499999999996</v>
      </c>
      <c r="BD30" s="166">
        <f t="shared" si="23"/>
        <v>7239.15</v>
      </c>
      <c r="BE30" s="166">
        <f t="shared" si="23"/>
        <v>4989.1499999999996</v>
      </c>
      <c r="BF30" s="166">
        <f t="shared" si="23"/>
        <v>4989.1499999999996</v>
      </c>
      <c r="BG30" s="166">
        <f t="shared" si="23"/>
        <v>4989.1499999999996</v>
      </c>
      <c r="BH30" s="166">
        <f t="shared" si="23"/>
        <v>7239.15</v>
      </c>
      <c r="BI30" s="166">
        <f t="shared" si="23"/>
        <v>5058.6075000000001</v>
      </c>
      <c r="BJ30" s="166">
        <f t="shared" si="23"/>
        <v>7308.6075000000001</v>
      </c>
      <c r="BK30" s="166">
        <f t="shared" si="23"/>
        <v>5058.6075000000001</v>
      </c>
      <c r="BL30" s="166">
        <f t="shared" si="23"/>
        <v>7308.6075000000001</v>
      </c>
      <c r="BM30" s="166">
        <f t="shared" si="23"/>
        <v>5058.6075000000001</v>
      </c>
      <c r="BN30" s="166">
        <f t="shared" si="23"/>
        <v>7308.6075000000001</v>
      </c>
      <c r="BO30" s="166">
        <f t="shared" si="23"/>
        <v>5058.6075000000001</v>
      </c>
      <c r="BP30" s="166">
        <f t="shared" si="23"/>
        <v>7308.6075000000001</v>
      </c>
      <c r="BQ30" s="166">
        <f t="shared" si="23"/>
        <v>5058.6075000000001</v>
      </c>
      <c r="BR30" s="166">
        <f t="shared" si="23"/>
        <v>7308.6075000000001</v>
      </c>
      <c r="BS30" s="166">
        <f t="shared" si="23"/>
        <v>5058.6075000000001</v>
      </c>
      <c r="BT30" s="166">
        <f t="shared" si="23"/>
        <v>7308.6075000000001</v>
      </c>
      <c r="BU30" s="35"/>
      <c r="BV30" s="143">
        <f t="shared" si="19"/>
        <v>66600</v>
      </c>
      <c r="BW30" s="143">
        <f t="shared" si="19"/>
        <v>67320</v>
      </c>
      <c r="BX30" s="143">
        <f t="shared" si="19"/>
        <v>63576</v>
      </c>
      <c r="BY30" s="143">
        <f t="shared" si="19"/>
        <v>66619.8</v>
      </c>
      <c r="BZ30" s="143">
        <f t="shared" si="19"/>
        <v>74203.289999999994</v>
      </c>
    </row>
    <row r="31" spans="1:78" ht="15.6">
      <c r="A31" s="167" t="str">
        <f>Assumptions!A41</f>
        <v>Marketing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35"/>
      <c r="BV31" s="73"/>
      <c r="BW31" s="73"/>
      <c r="BX31" s="73"/>
      <c r="BY31" s="73"/>
      <c r="BZ31" s="73"/>
    </row>
    <row r="32" spans="1:78" ht="15.6">
      <c r="A32" s="168" t="str">
        <f>Assumptions!A42</f>
        <v>Marketing Budget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70">
        <f>Assumptions!M42</f>
        <v>600</v>
      </c>
      <c r="N32" s="170">
        <f>Assumptions!N42</f>
        <v>600</v>
      </c>
      <c r="O32" s="170">
        <f>Assumptions!O42</f>
        <v>600</v>
      </c>
      <c r="P32" s="170">
        <f>Assumptions!P42</f>
        <v>600</v>
      </c>
      <c r="Q32" s="170">
        <f>Assumptions!Q42</f>
        <v>600</v>
      </c>
      <c r="R32" s="170">
        <f>Assumptions!R42</f>
        <v>600</v>
      </c>
      <c r="S32" s="170">
        <f>Assumptions!S42</f>
        <v>600</v>
      </c>
      <c r="T32" s="170">
        <f>Assumptions!T42</f>
        <v>600</v>
      </c>
      <c r="U32" s="170">
        <f>Assumptions!U42</f>
        <v>600</v>
      </c>
      <c r="V32" s="170">
        <f>Assumptions!V42</f>
        <v>600</v>
      </c>
      <c r="W32" s="170">
        <f>Assumptions!W42</f>
        <v>600</v>
      </c>
      <c r="X32" s="170">
        <f>Assumptions!X42</f>
        <v>600</v>
      </c>
      <c r="Y32" s="170">
        <f>Assumptions!Y42</f>
        <v>600</v>
      </c>
      <c r="Z32" s="170">
        <f>Assumptions!Z42</f>
        <v>600</v>
      </c>
      <c r="AA32" s="170">
        <f>Assumptions!AA42</f>
        <v>600</v>
      </c>
      <c r="AB32" s="170">
        <f>Assumptions!AB42</f>
        <v>600</v>
      </c>
      <c r="AC32" s="170">
        <f>Assumptions!AC42</f>
        <v>600</v>
      </c>
      <c r="AD32" s="170">
        <f>Assumptions!AD42</f>
        <v>600</v>
      </c>
      <c r="AE32" s="170">
        <f>Assumptions!AE42</f>
        <v>600</v>
      </c>
      <c r="AF32" s="170">
        <f>Assumptions!AF42</f>
        <v>600</v>
      </c>
      <c r="AG32" s="170">
        <f>Assumptions!AG42</f>
        <v>600</v>
      </c>
      <c r="AH32" s="170">
        <f>Assumptions!AH42</f>
        <v>600</v>
      </c>
      <c r="AI32" s="170">
        <f>Assumptions!AI42</f>
        <v>600</v>
      </c>
      <c r="AJ32" s="170">
        <f>Assumptions!AJ42</f>
        <v>600</v>
      </c>
      <c r="AK32" s="170">
        <f>Assumptions!AK42</f>
        <v>840</v>
      </c>
      <c r="AL32" s="170">
        <f>Assumptions!AL42</f>
        <v>840</v>
      </c>
      <c r="AM32" s="170">
        <f>Assumptions!AM42</f>
        <v>840</v>
      </c>
      <c r="AN32" s="170">
        <f>Assumptions!AN42</f>
        <v>840</v>
      </c>
      <c r="AO32" s="170">
        <f>Assumptions!AO42</f>
        <v>840</v>
      </c>
      <c r="AP32" s="170">
        <f>Assumptions!AP42</f>
        <v>840</v>
      </c>
      <c r="AQ32" s="170">
        <f>Assumptions!AQ42</f>
        <v>840</v>
      </c>
      <c r="AR32" s="170">
        <f>Assumptions!AR42</f>
        <v>840</v>
      </c>
      <c r="AS32" s="170">
        <f>Assumptions!AS42</f>
        <v>840</v>
      </c>
      <c r="AT32" s="170">
        <f>Assumptions!AT42</f>
        <v>840</v>
      </c>
      <c r="AU32" s="170">
        <f>Assumptions!AU42</f>
        <v>840</v>
      </c>
      <c r="AV32" s="170">
        <f>Assumptions!AV42</f>
        <v>840</v>
      </c>
      <c r="AW32" s="170">
        <f>Assumptions!AW42</f>
        <v>840</v>
      </c>
      <c r="AX32" s="170">
        <f>Assumptions!AX42</f>
        <v>840</v>
      </c>
      <c r="AY32" s="170">
        <f>Assumptions!AY42</f>
        <v>840</v>
      </c>
      <c r="AZ32" s="170">
        <f>Assumptions!AZ42</f>
        <v>840</v>
      </c>
      <c r="BA32" s="170">
        <f>Assumptions!BA42</f>
        <v>840</v>
      </c>
      <c r="BB32" s="170">
        <f>Assumptions!BB42</f>
        <v>840</v>
      </c>
      <c r="BC32" s="170">
        <f>Assumptions!BC42</f>
        <v>840</v>
      </c>
      <c r="BD32" s="170">
        <f>Assumptions!BD42</f>
        <v>840</v>
      </c>
      <c r="BE32" s="170">
        <f>Assumptions!BE42</f>
        <v>840</v>
      </c>
      <c r="BF32" s="170">
        <f>Assumptions!BF42</f>
        <v>840</v>
      </c>
      <c r="BG32" s="170">
        <f>Assumptions!BG42</f>
        <v>840</v>
      </c>
      <c r="BH32" s="170">
        <f>Assumptions!BH42</f>
        <v>840</v>
      </c>
      <c r="BI32" s="170">
        <f>Assumptions!BI42</f>
        <v>840</v>
      </c>
      <c r="BJ32" s="170">
        <f>Assumptions!BJ42</f>
        <v>840</v>
      </c>
      <c r="BK32" s="170">
        <f>Assumptions!BK42</f>
        <v>840</v>
      </c>
      <c r="BL32" s="170">
        <f>Assumptions!BL42</f>
        <v>840</v>
      </c>
      <c r="BM32" s="170">
        <f>Assumptions!BM42</f>
        <v>840</v>
      </c>
      <c r="BN32" s="170">
        <f>Assumptions!BN42</f>
        <v>840</v>
      </c>
      <c r="BO32" s="170">
        <f>Assumptions!BO42</f>
        <v>840</v>
      </c>
      <c r="BP32" s="170">
        <f>Assumptions!BP42</f>
        <v>840</v>
      </c>
      <c r="BQ32" s="170">
        <f>Assumptions!BQ42</f>
        <v>840</v>
      </c>
      <c r="BR32" s="170">
        <f>Assumptions!BR42</f>
        <v>840</v>
      </c>
      <c r="BS32" s="170">
        <f>Assumptions!BS42</f>
        <v>840</v>
      </c>
      <c r="BT32" s="170">
        <f>Assumptions!BT42</f>
        <v>840</v>
      </c>
      <c r="BU32" s="35"/>
      <c r="BV32" s="73"/>
      <c r="BW32" s="73"/>
      <c r="BX32" s="73"/>
      <c r="BY32" s="73"/>
      <c r="BZ32" s="73"/>
    </row>
    <row r="33" spans="1:78" ht="15.6">
      <c r="A33" s="142" t="str">
        <f>Assumptions!A43</f>
        <v xml:space="preserve">Marketing Team Roles &amp; Headcount </v>
      </c>
      <c r="BU33" s="35"/>
    </row>
    <row r="34" spans="1:78" ht="15.6">
      <c r="A34" s="144" t="str">
        <f>Assumptions!A44</f>
        <v>ABC</v>
      </c>
      <c r="F34" s="152" t="str">
        <f>Assumptions!F44</f>
        <v>Monthly Salary/Headcount</v>
      </c>
      <c r="G34" s="93">
        <f>Assumptions!G44</f>
        <v>0</v>
      </c>
      <c r="H34" s="68">
        <f>Assumptions!H44</f>
        <v>0.05</v>
      </c>
      <c r="I34" s="171" t="str">
        <f>Assumptions!I44</f>
        <v>Annual Increment</v>
      </c>
      <c r="M34" s="135">
        <f>($G34*Assumptions!M44)*(1+'Cost Buildup'!$H34)^(M$3-1)</f>
        <v>0</v>
      </c>
      <c r="N34" s="135">
        <f>($G34*Assumptions!N44)*(1+'Cost Buildup'!$H34)^(N$3-1)</f>
        <v>0</v>
      </c>
      <c r="O34" s="135">
        <f>($G34*Assumptions!O44)*(1+'Cost Buildup'!$H34)^(O$3-1)</f>
        <v>0</v>
      </c>
      <c r="P34" s="135">
        <f>($G34*Assumptions!P44)*(1+'Cost Buildup'!$H34)^(P$3-1)</f>
        <v>0</v>
      </c>
      <c r="Q34" s="135">
        <f>($G34*Assumptions!Q44)*(1+'Cost Buildup'!$H34)^(Q$3-1)</f>
        <v>0</v>
      </c>
      <c r="R34" s="135">
        <f>($G34*Assumptions!R44)*(1+'Cost Buildup'!$H34)^(R$3-1)</f>
        <v>0</v>
      </c>
      <c r="S34" s="135">
        <f>($G34*Assumptions!S44)*(1+'Cost Buildup'!$H34)^(S$3-1)</f>
        <v>0</v>
      </c>
      <c r="T34" s="135">
        <f>($G34*Assumptions!T44)*(1+'Cost Buildup'!$H34)^(T$3-1)</f>
        <v>0</v>
      </c>
      <c r="U34" s="135">
        <f>($G34*Assumptions!U44)*(1+'Cost Buildup'!$H34)^(U$3-1)</f>
        <v>0</v>
      </c>
      <c r="V34" s="135">
        <f>($G34*Assumptions!V44)*(1+'Cost Buildup'!$H34)^(V$3-1)</f>
        <v>0</v>
      </c>
      <c r="W34" s="135">
        <f>($G34*Assumptions!W44)*(1+'Cost Buildup'!$H34)^(W$3-1)</f>
        <v>0</v>
      </c>
      <c r="X34" s="135">
        <f>($G34*Assumptions!X44)*(1+'Cost Buildup'!$H34)^(X$3-1)</f>
        <v>0</v>
      </c>
      <c r="Y34" s="135">
        <f>($G34*Assumptions!Y44)*(1+'Cost Buildup'!$H34)^(Y$3-1)</f>
        <v>0</v>
      </c>
      <c r="Z34" s="135">
        <f>($G34*Assumptions!Z44)*(1+'Cost Buildup'!$H34)^(Z$3-1)</f>
        <v>0</v>
      </c>
      <c r="AA34" s="135">
        <f>($G34*Assumptions!AA44)*(1+'Cost Buildup'!$H34)^(AA$3-1)</f>
        <v>0</v>
      </c>
      <c r="AB34" s="135">
        <f>($G34*Assumptions!AB44)*(1+'Cost Buildup'!$H34)^(AB$3-1)</f>
        <v>0</v>
      </c>
      <c r="AC34" s="135">
        <f>($G34*Assumptions!AC44)*(1+'Cost Buildup'!$H34)^(AC$3-1)</f>
        <v>0</v>
      </c>
      <c r="AD34" s="135">
        <f>($G34*Assumptions!AD44)*(1+'Cost Buildup'!$H34)^(AD$3-1)</f>
        <v>0</v>
      </c>
      <c r="AE34" s="135">
        <f>($G34*Assumptions!AE44)*(1+'Cost Buildup'!$H34)^(AE$3-1)</f>
        <v>0</v>
      </c>
      <c r="AF34" s="135">
        <f>($G34*Assumptions!AF44)*(1+'Cost Buildup'!$H34)^(AF$3-1)</f>
        <v>0</v>
      </c>
      <c r="AG34" s="135">
        <f>($G34*Assumptions!AG44)*(1+'Cost Buildup'!$H34)^(AG$3-1)</f>
        <v>0</v>
      </c>
      <c r="AH34" s="135">
        <f>($G34*Assumptions!AH44)*(1+'Cost Buildup'!$H34)^(AH$3-1)</f>
        <v>0</v>
      </c>
      <c r="AI34" s="135">
        <f>($G34*Assumptions!AI44)*(1+'Cost Buildup'!$H34)^(AI$3-1)</f>
        <v>0</v>
      </c>
      <c r="AJ34" s="135">
        <f>($G34*Assumptions!AJ44)*(1+'Cost Buildup'!$H34)^(AJ$3-1)</f>
        <v>0</v>
      </c>
      <c r="AK34" s="135">
        <f>($G34*Assumptions!AK44)*(1+'Cost Buildup'!$H34)^(AK$3-1)</f>
        <v>0</v>
      </c>
      <c r="AL34" s="135">
        <f>($G34*Assumptions!AL44)*(1+'Cost Buildup'!$H34)^(AL$3-1)</f>
        <v>0</v>
      </c>
      <c r="AM34" s="135">
        <f>($G34*Assumptions!AM44)*(1+'Cost Buildup'!$H34)^(AM$3-1)</f>
        <v>0</v>
      </c>
      <c r="AN34" s="135">
        <f>($G34*Assumptions!AN44)*(1+'Cost Buildup'!$H34)^(AN$3-1)</f>
        <v>0</v>
      </c>
      <c r="AO34" s="135">
        <f>($G34*Assumptions!AO44)*(1+'Cost Buildup'!$H34)^(AO$3-1)</f>
        <v>0</v>
      </c>
      <c r="AP34" s="135">
        <f>($G34*Assumptions!AP44)*(1+'Cost Buildup'!$H34)^(AP$3-1)</f>
        <v>0</v>
      </c>
      <c r="AQ34" s="135">
        <f>($G34*Assumptions!AQ44)*(1+'Cost Buildup'!$H34)^(AQ$3-1)</f>
        <v>0</v>
      </c>
      <c r="AR34" s="135">
        <f>($G34*Assumptions!AR44)*(1+'Cost Buildup'!$H34)^(AR$3-1)</f>
        <v>0</v>
      </c>
      <c r="AS34" s="135">
        <f>($G34*Assumptions!AS44)*(1+'Cost Buildup'!$H34)^(AS$3-1)</f>
        <v>0</v>
      </c>
      <c r="AT34" s="135">
        <f>($G34*Assumptions!AT44)*(1+'Cost Buildup'!$H34)^(AT$3-1)</f>
        <v>0</v>
      </c>
      <c r="AU34" s="135">
        <f>($G34*Assumptions!AU44)*(1+'Cost Buildup'!$H34)^(AU$3-1)</f>
        <v>0</v>
      </c>
      <c r="AV34" s="135">
        <f>($G34*Assumptions!AV44)*(1+'Cost Buildup'!$H34)^(AV$3-1)</f>
        <v>0</v>
      </c>
      <c r="AW34" s="135">
        <f>($G34*Assumptions!AW44)*(1+'Cost Buildup'!$H34)^(AW$3-1)</f>
        <v>0</v>
      </c>
      <c r="AX34" s="135">
        <f>($G34*Assumptions!AX44)*(1+'Cost Buildup'!$H34)^(AX$3-1)</f>
        <v>0</v>
      </c>
      <c r="AY34" s="135">
        <f>($G34*Assumptions!AY44)*(1+'Cost Buildup'!$H34)^(AY$3-1)</f>
        <v>0</v>
      </c>
      <c r="AZ34" s="135">
        <f>($G34*Assumptions!AZ44)*(1+'Cost Buildup'!$H34)^(AZ$3-1)</f>
        <v>0</v>
      </c>
      <c r="BA34" s="135">
        <f>($G34*Assumptions!BA44)*(1+'Cost Buildup'!$H34)^(BA$3-1)</f>
        <v>0</v>
      </c>
      <c r="BB34" s="135">
        <f>($G34*Assumptions!BB44)*(1+'Cost Buildup'!$H34)^(BB$3-1)</f>
        <v>0</v>
      </c>
      <c r="BC34" s="135">
        <f>($G34*Assumptions!BC44)*(1+'Cost Buildup'!$H34)^(BC$3-1)</f>
        <v>0</v>
      </c>
      <c r="BD34" s="135">
        <f>($G34*Assumptions!BD44)*(1+'Cost Buildup'!$H34)^(BD$3-1)</f>
        <v>0</v>
      </c>
      <c r="BE34" s="135">
        <f>($G34*Assumptions!BE44)*(1+'Cost Buildup'!$H34)^(BE$3-1)</f>
        <v>0</v>
      </c>
      <c r="BF34" s="135">
        <f>($G34*Assumptions!BF44)*(1+'Cost Buildup'!$H34)^(BF$3-1)</f>
        <v>0</v>
      </c>
      <c r="BG34" s="135">
        <f>($G34*Assumptions!BG44)*(1+'Cost Buildup'!$H34)^(BG$3-1)</f>
        <v>0</v>
      </c>
      <c r="BH34" s="135">
        <f>($G34*Assumptions!BH44)*(1+'Cost Buildup'!$H34)^(BH$3-1)</f>
        <v>0</v>
      </c>
      <c r="BI34" s="135">
        <f>($G34*Assumptions!BI44)*(1+'Cost Buildup'!$H34)^(BI$3-1)</f>
        <v>0</v>
      </c>
      <c r="BJ34" s="135">
        <f>($G34*Assumptions!BJ44)*(1+'Cost Buildup'!$H34)^(BJ$3-1)</f>
        <v>0</v>
      </c>
      <c r="BK34" s="135">
        <f>($G34*Assumptions!BK44)*(1+'Cost Buildup'!$H34)^(BK$3-1)</f>
        <v>0</v>
      </c>
      <c r="BL34" s="135">
        <f>($G34*Assumptions!BL44)*(1+'Cost Buildup'!$H34)^(BL$3-1)</f>
        <v>0</v>
      </c>
      <c r="BM34" s="135">
        <f>($G34*Assumptions!BM44)*(1+'Cost Buildup'!$H34)^(BM$3-1)</f>
        <v>0</v>
      </c>
      <c r="BN34" s="135">
        <f>($G34*Assumptions!BN44)*(1+'Cost Buildup'!$H34)^(BN$3-1)</f>
        <v>0</v>
      </c>
      <c r="BO34" s="135">
        <f>($G34*Assumptions!BO44)*(1+'Cost Buildup'!$H34)^(BO$3-1)</f>
        <v>0</v>
      </c>
      <c r="BP34" s="135">
        <f>($G34*Assumptions!BP44)*(1+'Cost Buildup'!$H34)^(BP$3-1)</f>
        <v>0</v>
      </c>
      <c r="BQ34" s="135">
        <f>($G34*Assumptions!BQ44)*(1+'Cost Buildup'!$H34)^(BQ$3-1)</f>
        <v>0</v>
      </c>
      <c r="BR34" s="135">
        <f>($G34*Assumptions!BR44)*(1+'Cost Buildup'!$H34)^(BR$3-1)</f>
        <v>0</v>
      </c>
      <c r="BS34" s="135">
        <f>($G34*Assumptions!BS44)*(1+'Cost Buildup'!$H34)^(BS$3-1)</f>
        <v>0</v>
      </c>
      <c r="BT34" s="135">
        <f>($G34*Assumptions!BT44)*(1+'Cost Buildup'!$H34)^(BT$3-1)</f>
        <v>0</v>
      </c>
      <c r="BU34" s="35"/>
      <c r="BV34" s="145">
        <f t="shared" ref="BV34:BZ37" si="24">SUMIF($M$3:$BT$3,BV$3,$M34:$BT34)</f>
        <v>0</v>
      </c>
      <c r="BW34" s="145">
        <f t="shared" si="24"/>
        <v>0</v>
      </c>
      <c r="BX34" s="145">
        <f t="shared" si="24"/>
        <v>0</v>
      </c>
      <c r="BY34" s="145">
        <f t="shared" si="24"/>
        <v>0</v>
      </c>
      <c r="BZ34" s="145">
        <f t="shared" si="24"/>
        <v>0</v>
      </c>
    </row>
    <row r="35" spans="1:78" ht="15.6">
      <c r="A35" s="144" t="str">
        <f>Assumptions!A45</f>
        <v>ABC</v>
      </c>
      <c r="F35" s="152" t="str">
        <f>Assumptions!F45</f>
        <v>Monthly Salary/Headcount</v>
      </c>
      <c r="G35" s="93">
        <f>Assumptions!G45</f>
        <v>0</v>
      </c>
      <c r="H35" s="68">
        <f>Assumptions!H45</f>
        <v>0.05</v>
      </c>
      <c r="I35" s="171" t="str">
        <f>Assumptions!I45</f>
        <v>Annual Increment</v>
      </c>
      <c r="M35" s="135">
        <f>($G35*Assumptions!M45)*(1+'Cost Buildup'!$H35)^(M$3-1)</f>
        <v>0</v>
      </c>
      <c r="N35" s="135">
        <f>($G35*Assumptions!N45)*(1+'Cost Buildup'!$H35)^(N$3-1)</f>
        <v>0</v>
      </c>
      <c r="O35" s="135">
        <f>($G35*Assumptions!O45)*(1+'Cost Buildup'!$H35)^(O$3-1)</f>
        <v>0</v>
      </c>
      <c r="P35" s="135">
        <f>($G35*Assumptions!P45)*(1+'Cost Buildup'!$H35)^(P$3-1)</f>
        <v>0</v>
      </c>
      <c r="Q35" s="135">
        <f>($G35*Assumptions!Q45)*(1+'Cost Buildup'!$H35)^(Q$3-1)</f>
        <v>0</v>
      </c>
      <c r="R35" s="135">
        <f>($G35*Assumptions!R45)*(1+'Cost Buildup'!$H35)^(R$3-1)</f>
        <v>0</v>
      </c>
      <c r="S35" s="135">
        <f>($G35*Assumptions!S45)*(1+'Cost Buildup'!$H35)^(S$3-1)</f>
        <v>0</v>
      </c>
      <c r="T35" s="135">
        <f>($G35*Assumptions!T45)*(1+'Cost Buildup'!$H35)^(T$3-1)</f>
        <v>0</v>
      </c>
      <c r="U35" s="135">
        <f>($G35*Assumptions!U45)*(1+'Cost Buildup'!$H35)^(U$3-1)</f>
        <v>0</v>
      </c>
      <c r="V35" s="135">
        <f>($G35*Assumptions!V45)*(1+'Cost Buildup'!$H35)^(V$3-1)</f>
        <v>0</v>
      </c>
      <c r="W35" s="135">
        <f>($G35*Assumptions!W45)*(1+'Cost Buildup'!$H35)^(W$3-1)</f>
        <v>0</v>
      </c>
      <c r="X35" s="135">
        <f>($G35*Assumptions!X45)*(1+'Cost Buildup'!$H35)^(X$3-1)</f>
        <v>0</v>
      </c>
      <c r="Y35" s="135">
        <f>($G35*Assumptions!Y45)*(1+'Cost Buildup'!$H35)^(Y$3-1)</f>
        <v>0</v>
      </c>
      <c r="Z35" s="135">
        <f>($G35*Assumptions!Z45)*(1+'Cost Buildup'!$H35)^(Z$3-1)</f>
        <v>0</v>
      </c>
      <c r="AA35" s="135">
        <f>($G35*Assumptions!AA45)*(1+'Cost Buildup'!$H35)^(AA$3-1)</f>
        <v>0</v>
      </c>
      <c r="AB35" s="135">
        <f>($G35*Assumptions!AB45)*(1+'Cost Buildup'!$H35)^(AB$3-1)</f>
        <v>0</v>
      </c>
      <c r="AC35" s="135">
        <f>($G35*Assumptions!AC45)*(1+'Cost Buildup'!$H35)^(AC$3-1)</f>
        <v>0</v>
      </c>
      <c r="AD35" s="135">
        <f>($G35*Assumptions!AD45)*(1+'Cost Buildup'!$H35)^(AD$3-1)</f>
        <v>0</v>
      </c>
      <c r="AE35" s="135">
        <f>($G35*Assumptions!AE45)*(1+'Cost Buildup'!$H35)^(AE$3-1)</f>
        <v>0</v>
      </c>
      <c r="AF35" s="135">
        <f>($G35*Assumptions!AF45)*(1+'Cost Buildup'!$H35)^(AF$3-1)</f>
        <v>0</v>
      </c>
      <c r="AG35" s="135">
        <f>($G35*Assumptions!AG45)*(1+'Cost Buildup'!$H35)^(AG$3-1)</f>
        <v>0</v>
      </c>
      <c r="AH35" s="135">
        <f>($G35*Assumptions!AH45)*(1+'Cost Buildup'!$H35)^(AH$3-1)</f>
        <v>0</v>
      </c>
      <c r="AI35" s="135">
        <f>($G35*Assumptions!AI45)*(1+'Cost Buildup'!$H35)^(AI$3-1)</f>
        <v>0</v>
      </c>
      <c r="AJ35" s="135">
        <f>($G35*Assumptions!AJ45)*(1+'Cost Buildup'!$H35)^(AJ$3-1)</f>
        <v>0</v>
      </c>
      <c r="AK35" s="135">
        <f>($G35*Assumptions!AK45)*(1+'Cost Buildup'!$H35)^(AK$3-1)</f>
        <v>0</v>
      </c>
      <c r="AL35" s="135">
        <f>($G35*Assumptions!AL45)*(1+'Cost Buildup'!$H35)^(AL$3-1)</f>
        <v>0</v>
      </c>
      <c r="AM35" s="135">
        <f>($G35*Assumptions!AM45)*(1+'Cost Buildup'!$H35)^(AM$3-1)</f>
        <v>0</v>
      </c>
      <c r="AN35" s="135">
        <f>($G35*Assumptions!AN45)*(1+'Cost Buildup'!$H35)^(AN$3-1)</f>
        <v>0</v>
      </c>
      <c r="AO35" s="135">
        <f>($G35*Assumptions!AO45)*(1+'Cost Buildup'!$H35)^(AO$3-1)</f>
        <v>0</v>
      </c>
      <c r="AP35" s="135">
        <f>($G35*Assumptions!AP45)*(1+'Cost Buildup'!$H35)^(AP$3-1)</f>
        <v>0</v>
      </c>
      <c r="AQ35" s="135">
        <f>($G35*Assumptions!AQ45)*(1+'Cost Buildup'!$H35)^(AQ$3-1)</f>
        <v>0</v>
      </c>
      <c r="AR35" s="135">
        <f>($G35*Assumptions!AR45)*(1+'Cost Buildup'!$H35)^(AR$3-1)</f>
        <v>0</v>
      </c>
      <c r="AS35" s="135">
        <f>($G35*Assumptions!AS45)*(1+'Cost Buildup'!$H35)^(AS$3-1)</f>
        <v>0</v>
      </c>
      <c r="AT35" s="135">
        <f>($G35*Assumptions!AT45)*(1+'Cost Buildup'!$H35)^(AT$3-1)</f>
        <v>0</v>
      </c>
      <c r="AU35" s="135">
        <f>($G35*Assumptions!AU45)*(1+'Cost Buildup'!$H35)^(AU$3-1)</f>
        <v>0</v>
      </c>
      <c r="AV35" s="135">
        <f>($G35*Assumptions!AV45)*(1+'Cost Buildup'!$H35)^(AV$3-1)</f>
        <v>0</v>
      </c>
      <c r="AW35" s="135">
        <f>($G35*Assumptions!AW45)*(1+'Cost Buildup'!$H35)^(AW$3-1)</f>
        <v>0</v>
      </c>
      <c r="AX35" s="135">
        <f>($G35*Assumptions!AX45)*(1+'Cost Buildup'!$H35)^(AX$3-1)</f>
        <v>0</v>
      </c>
      <c r="AY35" s="135">
        <f>($G35*Assumptions!AY45)*(1+'Cost Buildup'!$H35)^(AY$3-1)</f>
        <v>0</v>
      </c>
      <c r="AZ35" s="135">
        <f>($G35*Assumptions!AZ45)*(1+'Cost Buildup'!$H35)^(AZ$3-1)</f>
        <v>0</v>
      </c>
      <c r="BA35" s="135">
        <f>($G35*Assumptions!BA45)*(1+'Cost Buildup'!$H35)^(BA$3-1)</f>
        <v>0</v>
      </c>
      <c r="BB35" s="135">
        <f>($G35*Assumptions!BB45)*(1+'Cost Buildup'!$H35)^(BB$3-1)</f>
        <v>0</v>
      </c>
      <c r="BC35" s="135">
        <f>($G35*Assumptions!BC45)*(1+'Cost Buildup'!$H35)^(BC$3-1)</f>
        <v>0</v>
      </c>
      <c r="BD35" s="135">
        <f>($G35*Assumptions!BD45)*(1+'Cost Buildup'!$H35)^(BD$3-1)</f>
        <v>0</v>
      </c>
      <c r="BE35" s="135">
        <f>($G35*Assumptions!BE45)*(1+'Cost Buildup'!$H35)^(BE$3-1)</f>
        <v>0</v>
      </c>
      <c r="BF35" s="135">
        <f>($G35*Assumptions!BF45)*(1+'Cost Buildup'!$H35)^(BF$3-1)</f>
        <v>0</v>
      </c>
      <c r="BG35" s="135">
        <f>($G35*Assumptions!BG45)*(1+'Cost Buildup'!$H35)^(BG$3-1)</f>
        <v>0</v>
      </c>
      <c r="BH35" s="135">
        <f>($G35*Assumptions!BH45)*(1+'Cost Buildup'!$H35)^(BH$3-1)</f>
        <v>0</v>
      </c>
      <c r="BI35" s="135">
        <f>($G35*Assumptions!BI45)*(1+'Cost Buildup'!$H35)^(BI$3-1)</f>
        <v>0</v>
      </c>
      <c r="BJ35" s="135">
        <f>($G35*Assumptions!BJ45)*(1+'Cost Buildup'!$H35)^(BJ$3-1)</f>
        <v>0</v>
      </c>
      <c r="BK35" s="135">
        <f>($G35*Assumptions!BK45)*(1+'Cost Buildup'!$H35)^(BK$3-1)</f>
        <v>0</v>
      </c>
      <c r="BL35" s="135">
        <f>($G35*Assumptions!BL45)*(1+'Cost Buildup'!$H35)^(BL$3-1)</f>
        <v>0</v>
      </c>
      <c r="BM35" s="135">
        <f>($G35*Assumptions!BM45)*(1+'Cost Buildup'!$H35)^(BM$3-1)</f>
        <v>0</v>
      </c>
      <c r="BN35" s="135">
        <f>($G35*Assumptions!BN45)*(1+'Cost Buildup'!$H35)^(BN$3-1)</f>
        <v>0</v>
      </c>
      <c r="BO35" s="135">
        <f>($G35*Assumptions!BO45)*(1+'Cost Buildup'!$H35)^(BO$3-1)</f>
        <v>0</v>
      </c>
      <c r="BP35" s="135">
        <f>($G35*Assumptions!BP45)*(1+'Cost Buildup'!$H35)^(BP$3-1)</f>
        <v>0</v>
      </c>
      <c r="BQ35" s="135">
        <f>($G35*Assumptions!BQ45)*(1+'Cost Buildup'!$H35)^(BQ$3-1)</f>
        <v>0</v>
      </c>
      <c r="BR35" s="135">
        <f>($G35*Assumptions!BR45)*(1+'Cost Buildup'!$H35)^(BR$3-1)</f>
        <v>0</v>
      </c>
      <c r="BS35" s="135">
        <f>($G35*Assumptions!BS45)*(1+'Cost Buildup'!$H35)^(BS$3-1)</f>
        <v>0</v>
      </c>
      <c r="BT35" s="135">
        <f>($G35*Assumptions!BT45)*(1+'Cost Buildup'!$H35)^(BT$3-1)</f>
        <v>0</v>
      </c>
      <c r="BU35" s="35"/>
      <c r="BV35" s="145">
        <f t="shared" si="24"/>
        <v>0</v>
      </c>
      <c r="BW35" s="145">
        <f t="shared" si="24"/>
        <v>0</v>
      </c>
      <c r="BX35" s="145">
        <f t="shared" si="24"/>
        <v>0</v>
      </c>
      <c r="BY35" s="145">
        <f t="shared" si="24"/>
        <v>0</v>
      </c>
      <c r="BZ35" s="145">
        <f t="shared" si="24"/>
        <v>0</v>
      </c>
    </row>
    <row r="36" spans="1:78" ht="15.6">
      <c r="A36" s="144" t="str">
        <f>Assumptions!A46</f>
        <v>ABC</v>
      </c>
      <c r="F36" s="152" t="str">
        <f>Assumptions!F46</f>
        <v>Monthly Salary/Headcount</v>
      </c>
      <c r="G36" s="93">
        <f>Assumptions!G46</f>
        <v>0</v>
      </c>
      <c r="H36" s="68">
        <f>Assumptions!H46</f>
        <v>0.05</v>
      </c>
      <c r="I36" s="171" t="str">
        <f>Assumptions!I46</f>
        <v>Annual Increment</v>
      </c>
      <c r="M36" s="135">
        <f>($G36*Assumptions!M46)*(1+'Cost Buildup'!$H36)^(M$3-1)</f>
        <v>0</v>
      </c>
      <c r="N36" s="135">
        <f>($G36*Assumptions!N46)*(1+'Cost Buildup'!$H36)^(N$3-1)</f>
        <v>0</v>
      </c>
      <c r="O36" s="135">
        <f>($G36*Assumptions!O46)*(1+'Cost Buildup'!$H36)^(O$3-1)</f>
        <v>0</v>
      </c>
      <c r="P36" s="135">
        <f>($G36*Assumptions!P46)*(1+'Cost Buildup'!$H36)^(P$3-1)</f>
        <v>0</v>
      </c>
      <c r="Q36" s="135">
        <f>($G36*Assumptions!Q46)*(1+'Cost Buildup'!$H36)^(Q$3-1)</f>
        <v>0</v>
      </c>
      <c r="R36" s="135">
        <f>($G36*Assumptions!R46)*(1+'Cost Buildup'!$H36)^(R$3-1)</f>
        <v>0</v>
      </c>
      <c r="S36" s="135">
        <f>($G36*Assumptions!S46)*(1+'Cost Buildup'!$H36)^(S$3-1)</f>
        <v>0</v>
      </c>
      <c r="T36" s="135">
        <f>($G36*Assumptions!T46)*(1+'Cost Buildup'!$H36)^(T$3-1)</f>
        <v>0</v>
      </c>
      <c r="U36" s="135">
        <f>($G36*Assumptions!U46)*(1+'Cost Buildup'!$H36)^(U$3-1)</f>
        <v>0</v>
      </c>
      <c r="V36" s="135">
        <f>($G36*Assumptions!V46)*(1+'Cost Buildup'!$H36)^(V$3-1)</f>
        <v>0</v>
      </c>
      <c r="W36" s="135">
        <f>($G36*Assumptions!W46)*(1+'Cost Buildup'!$H36)^(W$3-1)</f>
        <v>0</v>
      </c>
      <c r="X36" s="135">
        <f>($G36*Assumptions!X46)*(1+'Cost Buildup'!$H36)^(X$3-1)</f>
        <v>0</v>
      </c>
      <c r="Y36" s="135">
        <f>($G36*Assumptions!Y46)*(1+'Cost Buildup'!$H36)^(Y$3-1)</f>
        <v>0</v>
      </c>
      <c r="Z36" s="135">
        <f>($G36*Assumptions!Z46)*(1+'Cost Buildup'!$H36)^(Z$3-1)</f>
        <v>0</v>
      </c>
      <c r="AA36" s="135">
        <f>($G36*Assumptions!AA46)*(1+'Cost Buildup'!$H36)^(AA$3-1)</f>
        <v>0</v>
      </c>
      <c r="AB36" s="135">
        <f>($G36*Assumptions!AB46)*(1+'Cost Buildup'!$H36)^(AB$3-1)</f>
        <v>0</v>
      </c>
      <c r="AC36" s="135">
        <f>($G36*Assumptions!AC46)*(1+'Cost Buildup'!$H36)^(AC$3-1)</f>
        <v>0</v>
      </c>
      <c r="AD36" s="135">
        <f>($G36*Assumptions!AD46)*(1+'Cost Buildup'!$H36)^(AD$3-1)</f>
        <v>0</v>
      </c>
      <c r="AE36" s="135">
        <f>($G36*Assumptions!AE46)*(1+'Cost Buildup'!$H36)^(AE$3-1)</f>
        <v>0</v>
      </c>
      <c r="AF36" s="135">
        <f>($G36*Assumptions!AF46)*(1+'Cost Buildup'!$H36)^(AF$3-1)</f>
        <v>0</v>
      </c>
      <c r="AG36" s="135">
        <f>($G36*Assumptions!AG46)*(1+'Cost Buildup'!$H36)^(AG$3-1)</f>
        <v>0</v>
      </c>
      <c r="AH36" s="135">
        <f>($G36*Assumptions!AH46)*(1+'Cost Buildup'!$H36)^(AH$3-1)</f>
        <v>0</v>
      </c>
      <c r="AI36" s="135">
        <f>($G36*Assumptions!AI46)*(1+'Cost Buildup'!$H36)^(AI$3-1)</f>
        <v>0</v>
      </c>
      <c r="AJ36" s="135">
        <f>($G36*Assumptions!AJ46)*(1+'Cost Buildup'!$H36)^(AJ$3-1)</f>
        <v>0</v>
      </c>
      <c r="AK36" s="135">
        <f>($G36*Assumptions!AK46)*(1+'Cost Buildup'!$H36)^(AK$3-1)</f>
        <v>0</v>
      </c>
      <c r="AL36" s="135">
        <f>($G36*Assumptions!AL46)*(1+'Cost Buildup'!$H36)^(AL$3-1)</f>
        <v>0</v>
      </c>
      <c r="AM36" s="135">
        <f>($G36*Assumptions!AM46)*(1+'Cost Buildup'!$H36)^(AM$3-1)</f>
        <v>0</v>
      </c>
      <c r="AN36" s="135">
        <f>($G36*Assumptions!AN46)*(1+'Cost Buildup'!$H36)^(AN$3-1)</f>
        <v>0</v>
      </c>
      <c r="AO36" s="135">
        <f>($G36*Assumptions!AO46)*(1+'Cost Buildup'!$H36)^(AO$3-1)</f>
        <v>0</v>
      </c>
      <c r="AP36" s="135">
        <f>($G36*Assumptions!AP46)*(1+'Cost Buildup'!$H36)^(AP$3-1)</f>
        <v>0</v>
      </c>
      <c r="AQ36" s="135">
        <f>($G36*Assumptions!AQ46)*(1+'Cost Buildup'!$H36)^(AQ$3-1)</f>
        <v>0</v>
      </c>
      <c r="AR36" s="135">
        <f>($G36*Assumptions!AR46)*(1+'Cost Buildup'!$H36)^(AR$3-1)</f>
        <v>0</v>
      </c>
      <c r="AS36" s="135">
        <f>($G36*Assumptions!AS46)*(1+'Cost Buildup'!$H36)^(AS$3-1)</f>
        <v>0</v>
      </c>
      <c r="AT36" s="135">
        <f>($G36*Assumptions!AT46)*(1+'Cost Buildup'!$H36)^(AT$3-1)</f>
        <v>0</v>
      </c>
      <c r="AU36" s="135">
        <f>($G36*Assumptions!AU46)*(1+'Cost Buildup'!$H36)^(AU$3-1)</f>
        <v>0</v>
      </c>
      <c r="AV36" s="135">
        <f>($G36*Assumptions!AV46)*(1+'Cost Buildup'!$H36)^(AV$3-1)</f>
        <v>0</v>
      </c>
      <c r="AW36" s="135">
        <f>($G36*Assumptions!AW46)*(1+'Cost Buildup'!$H36)^(AW$3-1)</f>
        <v>0</v>
      </c>
      <c r="AX36" s="135">
        <f>($G36*Assumptions!AX46)*(1+'Cost Buildup'!$H36)^(AX$3-1)</f>
        <v>0</v>
      </c>
      <c r="AY36" s="135">
        <f>($G36*Assumptions!AY46)*(1+'Cost Buildup'!$H36)^(AY$3-1)</f>
        <v>0</v>
      </c>
      <c r="AZ36" s="135">
        <f>($G36*Assumptions!AZ46)*(1+'Cost Buildup'!$H36)^(AZ$3-1)</f>
        <v>0</v>
      </c>
      <c r="BA36" s="135">
        <f>($G36*Assumptions!BA46)*(1+'Cost Buildup'!$H36)^(BA$3-1)</f>
        <v>0</v>
      </c>
      <c r="BB36" s="135">
        <f>($G36*Assumptions!BB46)*(1+'Cost Buildup'!$H36)^(BB$3-1)</f>
        <v>0</v>
      </c>
      <c r="BC36" s="135">
        <f>($G36*Assumptions!BC46)*(1+'Cost Buildup'!$H36)^(BC$3-1)</f>
        <v>0</v>
      </c>
      <c r="BD36" s="135">
        <f>($G36*Assumptions!BD46)*(1+'Cost Buildup'!$H36)^(BD$3-1)</f>
        <v>0</v>
      </c>
      <c r="BE36" s="135">
        <f>($G36*Assumptions!BE46)*(1+'Cost Buildup'!$H36)^(BE$3-1)</f>
        <v>0</v>
      </c>
      <c r="BF36" s="135">
        <f>($G36*Assumptions!BF46)*(1+'Cost Buildup'!$H36)^(BF$3-1)</f>
        <v>0</v>
      </c>
      <c r="BG36" s="135">
        <f>($G36*Assumptions!BG46)*(1+'Cost Buildup'!$H36)^(BG$3-1)</f>
        <v>0</v>
      </c>
      <c r="BH36" s="135">
        <f>($G36*Assumptions!BH46)*(1+'Cost Buildup'!$H36)^(BH$3-1)</f>
        <v>0</v>
      </c>
      <c r="BI36" s="135">
        <f>($G36*Assumptions!BI46)*(1+'Cost Buildup'!$H36)^(BI$3-1)</f>
        <v>0</v>
      </c>
      <c r="BJ36" s="135">
        <f>($G36*Assumptions!BJ46)*(1+'Cost Buildup'!$H36)^(BJ$3-1)</f>
        <v>0</v>
      </c>
      <c r="BK36" s="135">
        <f>($G36*Assumptions!BK46)*(1+'Cost Buildup'!$H36)^(BK$3-1)</f>
        <v>0</v>
      </c>
      <c r="BL36" s="135">
        <f>($G36*Assumptions!BL46)*(1+'Cost Buildup'!$H36)^(BL$3-1)</f>
        <v>0</v>
      </c>
      <c r="BM36" s="135">
        <f>($G36*Assumptions!BM46)*(1+'Cost Buildup'!$H36)^(BM$3-1)</f>
        <v>0</v>
      </c>
      <c r="BN36" s="135">
        <f>($G36*Assumptions!BN46)*(1+'Cost Buildup'!$H36)^(BN$3-1)</f>
        <v>0</v>
      </c>
      <c r="BO36" s="135">
        <f>($G36*Assumptions!BO46)*(1+'Cost Buildup'!$H36)^(BO$3-1)</f>
        <v>0</v>
      </c>
      <c r="BP36" s="135">
        <f>($G36*Assumptions!BP46)*(1+'Cost Buildup'!$H36)^(BP$3-1)</f>
        <v>0</v>
      </c>
      <c r="BQ36" s="135">
        <f>($G36*Assumptions!BQ46)*(1+'Cost Buildup'!$H36)^(BQ$3-1)</f>
        <v>0</v>
      </c>
      <c r="BR36" s="135">
        <f>($G36*Assumptions!BR46)*(1+'Cost Buildup'!$H36)^(BR$3-1)</f>
        <v>0</v>
      </c>
      <c r="BS36" s="135">
        <f>($G36*Assumptions!BS46)*(1+'Cost Buildup'!$H36)^(BS$3-1)</f>
        <v>0</v>
      </c>
      <c r="BT36" s="135">
        <f>($G36*Assumptions!BT46)*(1+'Cost Buildup'!$H36)^(BT$3-1)</f>
        <v>0</v>
      </c>
      <c r="BU36" s="35"/>
      <c r="BV36" s="145">
        <f t="shared" si="24"/>
        <v>0</v>
      </c>
      <c r="BW36" s="145">
        <f t="shared" si="24"/>
        <v>0</v>
      </c>
      <c r="BX36" s="145">
        <f t="shared" si="24"/>
        <v>0</v>
      </c>
      <c r="BY36" s="145">
        <f t="shared" si="24"/>
        <v>0</v>
      </c>
      <c r="BZ36" s="145">
        <f t="shared" si="24"/>
        <v>0</v>
      </c>
    </row>
    <row r="37" spans="1:78" ht="15.6">
      <c r="A37" s="144" t="str">
        <f>Assumptions!A47</f>
        <v>ABC</v>
      </c>
      <c r="F37" s="152" t="str">
        <f>Assumptions!F47</f>
        <v>Monthly Salary/Headcount</v>
      </c>
      <c r="G37" s="93">
        <f>Assumptions!G47</f>
        <v>0</v>
      </c>
      <c r="H37" s="68">
        <f>Assumptions!H47</f>
        <v>0.05</v>
      </c>
      <c r="I37" s="171" t="str">
        <f>Assumptions!I47</f>
        <v>Annual Increment</v>
      </c>
      <c r="M37" s="135">
        <f>($G37*Assumptions!M47)*(1+'Cost Buildup'!$H37)^(M$3-1)</f>
        <v>0</v>
      </c>
      <c r="N37" s="135">
        <f>($G37*Assumptions!N47)*(1+'Cost Buildup'!$H37)^(N$3-1)</f>
        <v>0</v>
      </c>
      <c r="O37" s="135">
        <f>($G37*Assumptions!O47)*(1+'Cost Buildup'!$H37)^(O$3-1)</f>
        <v>0</v>
      </c>
      <c r="P37" s="135">
        <f>($G37*Assumptions!P47)*(1+'Cost Buildup'!$H37)^(P$3-1)</f>
        <v>0</v>
      </c>
      <c r="Q37" s="135">
        <f>($G37*Assumptions!Q47)*(1+'Cost Buildup'!$H37)^(Q$3-1)</f>
        <v>0</v>
      </c>
      <c r="R37" s="135">
        <f>($G37*Assumptions!R47)*(1+'Cost Buildup'!$H37)^(R$3-1)</f>
        <v>0</v>
      </c>
      <c r="S37" s="135">
        <f>($G37*Assumptions!S47)*(1+'Cost Buildup'!$H37)^(S$3-1)</f>
        <v>0</v>
      </c>
      <c r="T37" s="135">
        <f>($G37*Assumptions!T47)*(1+'Cost Buildup'!$H37)^(T$3-1)</f>
        <v>0</v>
      </c>
      <c r="U37" s="135">
        <f>($G37*Assumptions!U47)*(1+'Cost Buildup'!$H37)^(U$3-1)</f>
        <v>0</v>
      </c>
      <c r="V37" s="135">
        <f>($G37*Assumptions!V47)*(1+'Cost Buildup'!$H37)^(V$3-1)</f>
        <v>0</v>
      </c>
      <c r="W37" s="135">
        <f>($G37*Assumptions!W47)*(1+'Cost Buildup'!$H37)^(W$3-1)</f>
        <v>0</v>
      </c>
      <c r="X37" s="135">
        <f>($G37*Assumptions!X47)*(1+'Cost Buildup'!$H37)^(X$3-1)</f>
        <v>0</v>
      </c>
      <c r="Y37" s="135">
        <f>($G37*Assumptions!Y47)*(1+'Cost Buildup'!$H37)^(Y$3-1)</f>
        <v>0</v>
      </c>
      <c r="Z37" s="135">
        <f>($G37*Assumptions!Z47)*(1+'Cost Buildup'!$H37)^(Z$3-1)</f>
        <v>0</v>
      </c>
      <c r="AA37" s="135">
        <f>($G37*Assumptions!AA47)*(1+'Cost Buildup'!$H37)^(AA$3-1)</f>
        <v>0</v>
      </c>
      <c r="AB37" s="135">
        <f>($G37*Assumptions!AB47)*(1+'Cost Buildup'!$H37)^(AB$3-1)</f>
        <v>0</v>
      </c>
      <c r="AC37" s="135">
        <f>($G37*Assumptions!AC47)*(1+'Cost Buildup'!$H37)^(AC$3-1)</f>
        <v>0</v>
      </c>
      <c r="AD37" s="135">
        <f>($G37*Assumptions!AD47)*(1+'Cost Buildup'!$H37)^(AD$3-1)</f>
        <v>0</v>
      </c>
      <c r="AE37" s="135">
        <f>($G37*Assumptions!AE47)*(1+'Cost Buildup'!$H37)^(AE$3-1)</f>
        <v>0</v>
      </c>
      <c r="AF37" s="135">
        <f>($G37*Assumptions!AF47)*(1+'Cost Buildup'!$H37)^(AF$3-1)</f>
        <v>0</v>
      </c>
      <c r="AG37" s="135">
        <f>($G37*Assumptions!AG47)*(1+'Cost Buildup'!$H37)^(AG$3-1)</f>
        <v>0</v>
      </c>
      <c r="AH37" s="135">
        <f>($G37*Assumptions!AH47)*(1+'Cost Buildup'!$H37)^(AH$3-1)</f>
        <v>0</v>
      </c>
      <c r="AI37" s="135">
        <f>($G37*Assumptions!AI47)*(1+'Cost Buildup'!$H37)^(AI$3-1)</f>
        <v>0</v>
      </c>
      <c r="AJ37" s="135">
        <f>($G37*Assumptions!AJ47)*(1+'Cost Buildup'!$H37)^(AJ$3-1)</f>
        <v>0</v>
      </c>
      <c r="AK37" s="135">
        <f>($G37*Assumptions!AK47)*(1+'Cost Buildup'!$H37)^(AK$3-1)</f>
        <v>0</v>
      </c>
      <c r="AL37" s="135">
        <f>($G37*Assumptions!AL47)*(1+'Cost Buildup'!$H37)^(AL$3-1)</f>
        <v>0</v>
      </c>
      <c r="AM37" s="135">
        <f>($G37*Assumptions!AM47)*(1+'Cost Buildup'!$H37)^(AM$3-1)</f>
        <v>0</v>
      </c>
      <c r="AN37" s="135">
        <f>($G37*Assumptions!AN47)*(1+'Cost Buildup'!$H37)^(AN$3-1)</f>
        <v>0</v>
      </c>
      <c r="AO37" s="135">
        <f>($G37*Assumptions!AO47)*(1+'Cost Buildup'!$H37)^(AO$3-1)</f>
        <v>0</v>
      </c>
      <c r="AP37" s="135">
        <f>($G37*Assumptions!AP47)*(1+'Cost Buildup'!$H37)^(AP$3-1)</f>
        <v>0</v>
      </c>
      <c r="AQ37" s="135">
        <f>($G37*Assumptions!AQ47)*(1+'Cost Buildup'!$H37)^(AQ$3-1)</f>
        <v>0</v>
      </c>
      <c r="AR37" s="135">
        <f>($G37*Assumptions!AR47)*(1+'Cost Buildup'!$H37)^(AR$3-1)</f>
        <v>0</v>
      </c>
      <c r="AS37" s="135">
        <f>($G37*Assumptions!AS47)*(1+'Cost Buildup'!$H37)^(AS$3-1)</f>
        <v>0</v>
      </c>
      <c r="AT37" s="135">
        <f>($G37*Assumptions!AT47)*(1+'Cost Buildup'!$H37)^(AT$3-1)</f>
        <v>0</v>
      </c>
      <c r="AU37" s="135">
        <f>($G37*Assumptions!AU47)*(1+'Cost Buildup'!$H37)^(AU$3-1)</f>
        <v>0</v>
      </c>
      <c r="AV37" s="135">
        <f>($G37*Assumptions!AV47)*(1+'Cost Buildup'!$H37)^(AV$3-1)</f>
        <v>0</v>
      </c>
      <c r="AW37" s="135">
        <f>($G37*Assumptions!AW47)*(1+'Cost Buildup'!$H37)^(AW$3-1)</f>
        <v>0</v>
      </c>
      <c r="AX37" s="135">
        <f>($G37*Assumptions!AX47)*(1+'Cost Buildup'!$H37)^(AX$3-1)</f>
        <v>0</v>
      </c>
      <c r="AY37" s="135">
        <f>($G37*Assumptions!AY47)*(1+'Cost Buildup'!$H37)^(AY$3-1)</f>
        <v>0</v>
      </c>
      <c r="AZ37" s="135">
        <f>($G37*Assumptions!AZ47)*(1+'Cost Buildup'!$H37)^(AZ$3-1)</f>
        <v>0</v>
      </c>
      <c r="BA37" s="135">
        <f>($G37*Assumptions!BA47)*(1+'Cost Buildup'!$H37)^(BA$3-1)</f>
        <v>0</v>
      </c>
      <c r="BB37" s="135">
        <f>($G37*Assumptions!BB47)*(1+'Cost Buildup'!$H37)^(BB$3-1)</f>
        <v>0</v>
      </c>
      <c r="BC37" s="135">
        <f>($G37*Assumptions!BC47)*(1+'Cost Buildup'!$H37)^(BC$3-1)</f>
        <v>0</v>
      </c>
      <c r="BD37" s="135">
        <f>($G37*Assumptions!BD47)*(1+'Cost Buildup'!$H37)^(BD$3-1)</f>
        <v>0</v>
      </c>
      <c r="BE37" s="135">
        <f>($G37*Assumptions!BE47)*(1+'Cost Buildup'!$H37)^(BE$3-1)</f>
        <v>0</v>
      </c>
      <c r="BF37" s="135">
        <f>($G37*Assumptions!BF47)*(1+'Cost Buildup'!$H37)^(BF$3-1)</f>
        <v>0</v>
      </c>
      <c r="BG37" s="135">
        <f>($G37*Assumptions!BG47)*(1+'Cost Buildup'!$H37)^(BG$3-1)</f>
        <v>0</v>
      </c>
      <c r="BH37" s="135">
        <f>($G37*Assumptions!BH47)*(1+'Cost Buildup'!$H37)^(BH$3-1)</f>
        <v>0</v>
      </c>
      <c r="BI37" s="135">
        <f>($G37*Assumptions!BI47)*(1+'Cost Buildup'!$H37)^(BI$3-1)</f>
        <v>0</v>
      </c>
      <c r="BJ37" s="135">
        <f>($G37*Assumptions!BJ47)*(1+'Cost Buildup'!$H37)^(BJ$3-1)</f>
        <v>0</v>
      </c>
      <c r="BK37" s="135">
        <f>($G37*Assumptions!BK47)*(1+'Cost Buildup'!$H37)^(BK$3-1)</f>
        <v>0</v>
      </c>
      <c r="BL37" s="135">
        <f>($G37*Assumptions!BL47)*(1+'Cost Buildup'!$H37)^(BL$3-1)</f>
        <v>0</v>
      </c>
      <c r="BM37" s="135">
        <f>($G37*Assumptions!BM47)*(1+'Cost Buildup'!$H37)^(BM$3-1)</f>
        <v>0</v>
      </c>
      <c r="BN37" s="135">
        <f>($G37*Assumptions!BN47)*(1+'Cost Buildup'!$H37)^(BN$3-1)</f>
        <v>0</v>
      </c>
      <c r="BO37" s="135">
        <f>($G37*Assumptions!BO47)*(1+'Cost Buildup'!$H37)^(BO$3-1)</f>
        <v>0</v>
      </c>
      <c r="BP37" s="135">
        <f>($G37*Assumptions!BP47)*(1+'Cost Buildup'!$H37)^(BP$3-1)</f>
        <v>0</v>
      </c>
      <c r="BQ37" s="135">
        <f>($G37*Assumptions!BQ47)*(1+'Cost Buildup'!$H37)^(BQ$3-1)</f>
        <v>0</v>
      </c>
      <c r="BR37" s="135">
        <f>($G37*Assumptions!BR47)*(1+'Cost Buildup'!$H37)^(BR$3-1)</f>
        <v>0</v>
      </c>
      <c r="BS37" s="135">
        <f>($G37*Assumptions!BS47)*(1+'Cost Buildup'!$H37)^(BS$3-1)</f>
        <v>0</v>
      </c>
      <c r="BT37" s="135">
        <f>($G37*Assumptions!BT47)*(1+'Cost Buildup'!$H37)^(BT$3-1)</f>
        <v>0</v>
      </c>
      <c r="BU37" s="35"/>
      <c r="BV37" s="145">
        <f t="shared" si="24"/>
        <v>0</v>
      </c>
      <c r="BW37" s="145">
        <f t="shared" si="24"/>
        <v>0</v>
      </c>
      <c r="BX37" s="145">
        <f t="shared" si="24"/>
        <v>0</v>
      </c>
      <c r="BY37" s="145">
        <f t="shared" si="24"/>
        <v>0</v>
      </c>
      <c r="BZ37" s="145">
        <f t="shared" si="24"/>
        <v>0</v>
      </c>
    </row>
    <row r="38" spans="1:78" ht="15.6">
      <c r="A38" s="144" t="str">
        <f>Assumptions!A48</f>
        <v>ABC</v>
      </c>
      <c r="F38" s="152" t="str">
        <f>Assumptions!F48</f>
        <v>Monthly Salary/Headcount</v>
      </c>
      <c r="G38" s="64"/>
      <c r="H38" s="64"/>
      <c r="I38" s="172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35"/>
      <c r="BV38" s="145"/>
      <c r="BW38" s="145"/>
      <c r="BX38" s="145"/>
      <c r="BY38" s="145"/>
      <c r="BZ38" s="145"/>
    </row>
    <row r="39" spans="1:78" ht="15.6">
      <c r="A39" s="144" t="str">
        <f>Assumptions!A49</f>
        <v>ABC</v>
      </c>
      <c r="F39" s="152" t="str">
        <f>Assumptions!F49</f>
        <v>Monthly Salary/Headcount</v>
      </c>
      <c r="G39" s="64"/>
      <c r="H39" s="64"/>
      <c r="I39" s="172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35"/>
      <c r="BV39" s="145"/>
      <c r="BW39" s="145"/>
      <c r="BX39" s="145"/>
      <c r="BY39" s="145"/>
      <c r="BZ39" s="145"/>
    </row>
    <row r="40" spans="1:78" ht="15.6">
      <c r="A40" s="67" t="s">
        <v>122</v>
      </c>
      <c r="M40" s="173">
        <f t="shared" ref="M40:AR40" si="25">SUM(M34:M37)</f>
        <v>0</v>
      </c>
      <c r="N40" s="173">
        <f t="shared" si="25"/>
        <v>0</v>
      </c>
      <c r="O40" s="173">
        <f t="shared" si="25"/>
        <v>0</v>
      </c>
      <c r="P40" s="173">
        <f t="shared" si="25"/>
        <v>0</v>
      </c>
      <c r="Q40" s="173">
        <f t="shared" si="25"/>
        <v>0</v>
      </c>
      <c r="R40" s="173">
        <f t="shared" si="25"/>
        <v>0</v>
      </c>
      <c r="S40" s="173">
        <f t="shared" si="25"/>
        <v>0</v>
      </c>
      <c r="T40" s="173">
        <f t="shared" si="25"/>
        <v>0</v>
      </c>
      <c r="U40" s="173">
        <f t="shared" si="25"/>
        <v>0</v>
      </c>
      <c r="V40" s="173">
        <f t="shared" si="25"/>
        <v>0</v>
      </c>
      <c r="W40" s="173">
        <f t="shared" si="25"/>
        <v>0</v>
      </c>
      <c r="X40" s="173">
        <f t="shared" si="25"/>
        <v>0</v>
      </c>
      <c r="Y40" s="173">
        <f t="shared" si="25"/>
        <v>0</v>
      </c>
      <c r="Z40" s="173">
        <f t="shared" si="25"/>
        <v>0</v>
      </c>
      <c r="AA40" s="173">
        <f t="shared" si="25"/>
        <v>0</v>
      </c>
      <c r="AB40" s="173">
        <f t="shared" si="25"/>
        <v>0</v>
      </c>
      <c r="AC40" s="173">
        <f t="shared" si="25"/>
        <v>0</v>
      </c>
      <c r="AD40" s="173">
        <f t="shared" si="25"/>
        <v>0</v>
      </c>
      <c r="AE40" s="173">
        <f t="shared" si="25"/>
        <v>0</v>
      </c>
      <c r="AF40" s="173">
        <f t="shared" si="25"/>
        <v>0</v>
      </c>
      <c r="AG40" s="173">
        <f t="shared" si="25"/>
        <v>0</v>
      </c>
      <c r="AH40" s="173">
        <f t="shared" si="25"/>
        <v>0</v>
      </c>
      <c r="AI40" s="173">
        <f t="shared" si="25"/>
        <v>0</v>
      </c>
      <c r="AJ40" s="173">
        <f t="shared" si="25"/>
        <v>0</v>
      </c>
      <c r="AK40" s="173">
        <f t="shared" si="25"/>
        <v>0</v>
      </c>
      <c r="AL40" s="173">
        <f t="shared" si="25"/>
        <v>0</v>
      </c>
      <c r="AM40" s="173">
        <f t="shared" si="25"/>
        <v>0</v>
      </c>
      <c r="AN40" s="173">
        <f t="shared" si="25"/>
        <v>0</v>
      </c>
      <c r="AO40" s="173">
        <f t="shared" si="25"/>
        <v>0</v>
      </c>
      <c r="AP40" s="173">
        <f t="shared" si="25"/>
        <v>0</v>
      </c>
      <c r="AQ40" s="173">
        <f t="shared" si="25"/>
        <v>0</v>
      </c>
      <c r="AR40" s="173">
        <f t="shared" si="25"/>
        <v>0</v>
      </c>
      <c r="AS40" s="173">
        <f t="shared" ref="AS40:BT40" si="26">SUM(AS34:AS37)</f>
        <v>0</v>
      </c>
      <c r="AT40" s="173">
        <f t="shared" si="26"/>
        <v>0</v>
      </c>
      <c r="AU40" s="173">
        <f t="shared" si="26"/>
        <v>0</v>
      </c>
      <c r="AV40" s="173">
        <f t="shared" si="26"/>
        <v>0</v>
      </c>
      <c r="AW40" s="173">
        <f t="shared" si="26"/>
        <v>0</v>
      </c>
      <c r="AX40" s="173">
        <f t="shared" si="26"/>
        <v>0</v>
      </c>
      <c r="AY40" s="173">
        <f t="shared" si="26"/>
        <v>0</v>
      </c>
      <c r="AZ40" s="173">
        <f t="shared" si="26"/>
        <v>0</v>
      </c>
      <c r="BA40" s="173">
        <f t="shared" si="26"/>
        <v>0</v>
      </c>
      <c r="BB40" s="173">
        <f t="shared" si="26"/>
        <v>0</v>
      </c>
      <c r="BC40" s="173">
        <f t="shared" si="26"/>
        <v>0</v>
      </c>
      <c r="BD40" s="173">
        <f t="shared" si="26"/>
        <v>0</v>
      </c>
      <c r="BE40" s="173">
        <f t="shared" si="26"/>
        <v>0</v>
      </c>
      <c r="BF40" s="173">
        <f t="shared" si="26"/>
        <v>0</v>
      </c>
      <c r="BG40" s="173">
        <f t="shared" si="26"/>
        <v>0</v>
      </c>
      <c r="BH40" s="173">
        <f t="shared" si="26"/>
        <v>0</v>
      </c>
      <c r="BI40" s="173">
        <f t="shared" si="26"/>
        <v>0</v>
      </c>
      <c r="BJ40" s="173">
        <f t="shared" si="26"/>
        <v>0</v>
      </c>
      <c r="BK40" s="173">
        <f t="shared" si="26"/>
        <v>0</v>
      </c>
      <c r="BL40" s="173">
        <f t="shared" si="26"/>
        <v>0</v>
      </c>
      <c r="BM40" s="173">
        <f t="shared" si="26"/>
        <v>0</v>
      </c>
      <c r="BN40" s="173">
        <f t="shared" si="26"/>
        <v>0</v>
      </c>
      <c r="BO40" s="173">
        <f t="shared" si="26"/>
        <v>0</v>
      </c>
      <c r="BP40" s="173">
        <f t="shared" si="26"/>
        <v>0</v>
      </c>
      <c r="BQ40" s="173">
        <f t="shared" si="26"/>
        <v>0</v>
      </c>
      <c r="BR40" s="173">
        <f t="shared" si="26"/>
        <v>0</v>
      </c>
      <c r="BS40" s="173">
        <f t="shared" si="26"/>
        <v>0</v>
      </c>
      <c r="BT40" s="173">
        <f t="shared" si="26"/>
        <v>0</v>
      </c>
      <c r="BU40" s="35"/>
      <c r="BV40" s="160">
        <f t="shared" ref="BV40:BZ41" si="27">SUMIF($M$3:$BT$3,BV$3,$M40:$BT40)</f>
        <v>0</v>
      </c>
      <c r="BW40" s="160">
        <f t="shared" si="27"/>
        <v>0</v>
      </c>
      <c r="BX40" s="160">
        <f t="shared" si="27"/>
        <v>0</v>
      </c>
      <c r="BY40" s="160">
        <f t="shared" si="27"/>
        <v>0</v>
      </c>
      <c r="BZ40" s="160">
        <f t="shared" si="27"/>
        <v>0</v>
      </c>
    </row>
    <row r="41" spans="1:78" ht="15.6">
      <c r="A41" s="67" t="s">
        <v>123</v>
      </c>
      <c r="M41" s="137">
        <f t="shared" ref="M41:AR41" si="28">M40+M32</f>
        <v>600</v>
      </c>
      <c r="N41" s="137">
        <f t="shared" si="28"/>
        <v>600</v>
      </c>
      <c r="O41" s="137">
        <f t="shared" si="28"/>
        <v>600</v>
      </c>
      <c r="P41" s="137">
        <f t="shared" si="28"/>
        <v>600</v>
      </c>
      <c r="Q41" s="137">
        <f t="shared" si="28"/>
        <v>600</v>
      </c>
      <c r="R41" s="137">
        <f t="shared" si="28"/>
        <v>600</v>
      </c>
      <c r="S41" s="137">
        <f t="shared" si="28"/>
        <v>600</v>
      </c>
      <c r="T41" s="137">
        <f t="shared" si="28"/>
        <v>600</v>
      </c>
      <c r="U41" s="137">
        <f t="shared" si="28"/>
        <v>600</v>
      </c>
      <c r="V41" s="137">
        <f t="shared" si="28"/>
        <v>600</v>
      </c>
      <c r="W41" s="137">
        <f t="shared" si="28"/>
        <v>600</v>
      </c>
      <c r="X41" s="137">
        <f t="shared" si="28"/>
        <v>600</v>
      </c>
      <c r="Y41" s="137">
        <f t="shared" si="28"/>
        <v>600</v>
      </c>
      <c r="Z41" s="137">
        <f t="shared" si="28"/>
        <v>600</v>
      </c>
      <c r="AA41" s="137">
        <f t="shared" si="28"/>
        <v>600</v>
      </c>
      <c r="AB41" s="137">
        <f t="shared" si="28"/>
        <v>600</v>
      </c>
      <c r="AC41" s="137">
        <f t="shared" si="28"/>
        <v>600</v>
      </c>
      <c r="AD41" s="137">
        <f t="shared" si="28"/>
        <v>600</v>
      </c>
      <c r="AE41" s="137">
        <f t="shared" si="28"/>
        <v>600</v>
      </c>
      <c r="AF41" s="137">
        <f t="shared" si="28"/>
        <v>600</v>
      </c>
      <c r="AG41" s="137">
        <f t="shared" si="28"/>
        <v>600</v>
      </c>
      <c r="AH41" s="137">
        <f t="shared" si="28"/>
        <v>600</v>
      </c>
      <c r="AI41" s="137">
        <f t="shared" si="28"/>
        <v>600</v>
      </c>
      <c r="AJ41" s="137">
        <f t="shared" si="28"/>
        <v>600</v>
      </c>
      <c r="AK41" s="137">
        <f t="shared" si="28"/>
        <v>840</v>
      </c>
      <c r="AL41" s="137">
        <f t="shared" si="28"/>
        <v>840</v>
      </c>
      <c r="AM41" s="137">
        <f t="shared" si="28"/>
        <v>840</v>
      </c>
      <c r="AN41" s="137">
        <f t="shared" si="28"/>
        <v>840</v>
      </c>
      <c r="AO41" s="137">
        <f t="shared" si="28"/>
        <v>840</v>
      </c>
      <c r="AP41" s="137">
        <f t="shared" si="28"/>
        <v>840</v>
      </c>
      <c r="AQ41" s="137">
        <f t="shared" si="28"/>
        <v>840</v>
      </c>
      <c r="AR41" s="137">
        <f t="shared" si="28"/>
        <v>840</v>
      </c>
      <c r="AS41" s="137">
        <f t="shared" ref="AS41:BX41" si="29">AS40+AS32</f>
        <v>840</v>
      </c>
      <c r="AT41" s="137">
        <f t="shared" si="29"/>
        <v>840</v>
      </c>
      <c r="AU41" s="137">
        <f t="shared" si="29"/>
        <v>840</v>
      </c>
      <c r="AV41" s="137">
        <f t="shared" si="29"/>
        <v>840</v>
      </c>
      <c r="AW41" s="137">
        <f t="shared" si="29"/>
        <v>840</v>
      </c>
      <c r="AX41" s="137">
        <f t="shared" si="29"/>
        <v>840</v>
      </c>
      <c r="AY41" s="137">
        <f t="shared" si="29"/>
        <v>840</v>
      </c>
      <c r="AZ41" s="137">
        <f t="shared" si="29"/>
        <v>840</v>
      </c>
      <c r="BA41" s="137">
        <f t="shared" si="29"/>
        <v>840</v>
      </c>
      <c r="BB41" s="137">
        <f t="shared" si="29"/>
        <v>840</v>
      </c>
      <c r="BC41" s="137">
        <f t="shared" si="29"/>
        <v>840</v>
      </c>
      <c r="BD41" s="137">
        <f t="shared" si="29"/>
        <v>840</v>
      </c>
      <c r="BE41" s="137">
        <f t="shared" si="29"/>
        <v>840</v>
      </c>
      <c r="BF41" s="137">
        <f t="shared" si="29"/>
        <v>840</v>
      </c>
      <c r="BG41" s="137">
        <f t="shared" si="29"/>
        <v>840</v>
      </c>
      <c r="BH41" s="137">
        <f t="shared" si="29"/>
        <v>840</v>
      </c>
      <c r="BI41" s="137">
        <f t="shared" si="29"/>
        <v>840</v>
      </c>
      <c r="BJ41" s="137">
        <f t="shared" si="29"/>
        <v>840</v>
      </c>
      <c r="BK41" s="137">
        <f t="shared" si="29"/>
        <v>840</v>
      </c>
      <c r="BL41" s="137">
        <f t="shared" si="29"/>
        <v>840</v>
      </c>
      <c r="BM41" s="137">
        <f t="shared" si="29"/>
        <v>840</v>
      </c>
      <c r="BN41" s="137">
        <f t="shared" si="29"/>
        <v>840</v>
      </c>
      <c r="BO41" s="137">
        <f t="shared" si="29"/>
        <v>840</v>
      </c>
      <c r="BP41" s="137">
        <f t="shared" si="29"/>
        <v>840</v>
      </c>
      <c r="BQ41" s="137">
        <f t="shared" si="29"/>
        <v>840</v>
      </c>
      <c r="BR41" s="137">
        <f t="shared" si="29"/>
        <v>840</v>
      </c>
      <c r="BS41" s="137">
        <f t="shared" si="29"/>
        <v>840</v>
      </c>
      <c r="BT41" s="137">
        <f t="shared" si="29"/>
        <v>840</v>
      </c>
      <c r="BU41" s="35"/>
      <c r="BV41" s="143">
        <f t="shared" si="27"/>
        <v>7200</v>
      </c>
      <c r="BW41" s="143">
        <f t="shared" si="27"/>
        <v>7200</v>
      </c>
      <c r="BX41" s="143">
        <f t="shared" si="27"/>
        <v>10080</v>
      </c>
      <c r="BY41" s="143">
        <f t="shared" si="27"/>
        <v>10080</v>
      </c>
      <c r="BZ41" s="143">
        <f t="shared" si="27"/>
        <v>10080</v>
      </c>
    </row>
    <row r="42" spans="1:78" ht="15.6">
      <c r="A42" s="167" t="str">
        <f>Assumptions!A50</f>
        <v>G&amp;A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35"/>
      <c r="BV42" s="73"/>
      <c r="BW42" s="73"/>
      <c r="BX42" s="73"/>
      <c r="BY42" s="73"/>
      <c r="BZ42" s="73"/>
    </row>
    <row r="43" spans="1:78" ht="15.6">
      <c r="A43" s="144" t="str">
        <f>Assumptions!A51</f>
        <v>Office Rent</v>
      </c>
      <c r="F43" s="152" t="str">
        <f>Assumptions!F51</f>
        <v>Chair/Employee/Monthly</v>
      </c>
      <c r="G43" s="61">
        <f>Assumptions!G51</f>
        <v>82.188564048373834</v>
      </c>
      <c r="H43" s="61">
        <f>Assumptions!H51</f>
        <v>109.9868385957497</v>
      </c>
      <c r="M43" s="174">
        <f>Assumptions!M51*M97</f>
        <v>1068.4513326288597</v>
      </c>
      <c r="N43" s="174">
        <f>Assumptions!N51*N97</f>
        <v>1074.5763761731969</v>
      </c>
      <c r="O43" s="174">
        <f>Assumptions!O51*O97</f>
        <v>1080.701419717534</v>
      </c>
      <c r="P43" s="174">
        <f>Assumptions!P51*P97</f>
        <v>1086.8264632618709</v>
      </c>
      <c r="Q43" s="174">
        <f>Assumptions!Q51*Q97</f>
        <v>1092.951506806208</v>
      </c>
      <c r="R43" s="174">
        <f>Assumptions!R51*R97</f>
        <v>1183.62090037751</v>
      </c>
      <c r="S43" s="174">
        <f>Assumptions!S51*S97</f>
        <v>1275.2326083402486</v>
      </c>
      <c r="T43" s="174">
        <f>Assumptions!T51*T97</f>
        <v>1282.2999662760221</v>
      </c>
      <c r="U43" s="174">
        <f>Assumptions!U51*U97</f>
        <v>1289.3673242117957</v>
      </c>
      <c r="V43" s="174">
        <f>Assumptions!V51*V97</f>
        <v>1296.4346821475692</v>
      </c>
      <c r="W43" s="174">
        <f>Assumptions!W51*W97</f>
        <v>1303.5020400833428</v>
      </c>
      <c r="X43" s="174">
        <f>Assumptions!X51*X97</f>
        <v>1310.5693980191161</v>
      </c>
      <c r="Y43" s="174">
        <f>Assumptions!Y51*Y97</f>
        <v>1493.3216567488751</v>
      </c>
      <c r="Z43" s="174">
        <f>Assumptions!Z51*Z97</f>
        <v>1501.331329076085</v>
      </c>
      <c r="AA43" s="174">
        <f>Assumptions!AA51*AA97</f>
        <v>1509.341001403295</v>
      </c>
      <c r="AB43" s="174">
        <f>Assumptions!AB51*AB97</f>
        <v>1517.3506737305049</v>
      </c>
      <c r="AC43" s="174">
        <f>Assumptions!AC51*AC97</f>
        <v>1525.3603460577149</v>
      </c>
      <c r="AD43" s="174">
        <f>Assumptions!AD51*AD97</f>
        <v>1533.3700183849248</v>
      </c>
      <c r="AE43" s="174">
        <f>Assumptions!AE51*AE97</f>
        <v>1541.3796907121348</v>
      </c>
      <c r="AF43" s="174">
        <f>Assumptions!AF51*AF97</f>
        <v>1549.389363039345</v>
      </c>
      <c r="AG43" s="174">
        <f>Assumptions!AG51*AG97</f>
        <v>1649.0107433292933</v>
      </c>
      <c r="AH43" s="174">
        <f>Assumptions!AH51*AH97</f>
        <v>1657.4915728522217</v>
      </c>
      <c r="AI43" s="174">
        <f>Assumptions!AI51*AI97</f>
        <v>1665.9724023751498</v>
      </c>
      <c r="AJ43" s="174">
        <f>Assumptions!AJ51*AJ97</f>
        <v>1674.453231898078</v>
      </c>
      <c r="AK43" s="174">
        <f>Assumptions!AK51*AK97</f>
        <v>1682.9340614210062</v>
      </c>
      <c r="AL43" s="174">
        <f>Assumptions!AL51*AL97</f>
        <v>1691.4148909439346</v>
      </c>
      <c r="AM43" s="174">
        <f>Assumptions!AM51*AM97</f>
        <v>1699.8957204668627</v>
      </c>
      <c r="AN43" s="174">
        <f>Assumptions!AN51*AN97</f>
        <v>1708.3765499897909</v>
      </c>
      <c r="AO43" s="174">
        <f>Assumptions!AO51*AO97</f>
        <v>1716.857379512719</v>
      </c>
      <c r="AP43" s="174">
        <f>Assumptions!AP51*AP97</f>
        <v>1725.3382090356474</v>
      </c>
      <c r="AQ43" s="174">
        <f>Assumptions!AQ51*AQ97</f>
        <v>1733.8190385585756</v>
      </c>
      <c r="AR43" s="174">
        <f>Assumptions!AR51*AR97</f>
        <v>1742.2998680815037</v>
      </c>
      <c r="AS43" s="174">
        <f>Assumptions!AS51*AS97</f>
        <v>1750.7806976044319</v>
      </c>
      <c r="AT43" s="174">
        <f>Assumptions!AT51*AT97</f>
        <v>1759.2615271273603</v>
      </c>
      <c r="AU43" s="174">
        <f>Assumptions!AU51*AU97</f>
        <v>1767.7423566502885</v>
      </c>
      <c r="AV43" s="174">
        <f>Assumptions!AV51*AV97</f>
        <v>1874.9022520717288</v>
      </c>
      <c r="AW43" s="174">
        <f>Assumptions!AW51*AW97</f>
        <v>1883.8542387903751</v>
      </c>
      <c r="AX43" s="174">
        <f>Assumptions!AX51*AX97</f>
        <v>1892.8062255090215</v>
      </c>
      <c r="AY43" s="174">
        <f>Assumptions!AY51*AY97</f>
        <v>1901.7582122276681</v>
      </c>
      <c r="AZ43" s="174">
        <f>Assumptions!AZ51*AZ97</f>
        <v>1910.7101989463144</v>
      </c>
      <c r="BA43" s="174">
        <f>Assumptions!BA51*BA97</f>
        <v>1919.662185664961</v>
      </c>
      <c r="BB43" s="174">
        <f>Assumptions!BB51*BB97</f>
        <v>1928.6141723836074</v>
      </c>
      <c r="BC43" s="174">
        <f>Assumptions!BC51*BC97</f>
        <v>1937.5661591022538</v>
      </c>
      <c r="BD43" s="174">
        <f>Assumptions!BD51*BD97</f>
        <v>2048.9664692851584</v>
      </c>
      <c r="BE43" s="174">
        <f>Assumptions!BE51*BE97</f>
        <v>2058.389613199523</v>
      </c>
      <c r="BF43" s="174">
        <f>Assumptions!BF51*BF97</f>
        <v>2067.8127571138875</v>
      </c>
      <c r="BG43" s="174">
        <f>Assumptions!BG51*BG97</f>
        <v>2077.2359010282521</v>
      </c>
      <c r="BH43" s="174">
        <f>Assumptions!BH51*BH97</f>
        <v>2086.6590449426171</v>
      </c>
      <c r="BI43" s="174">
        <f>Assumptions!BI51*BI97</f>
        <v>2096.0821888569817</v>
      </c>
      <c r="BJ43" s="174">
        <f>Assumptions!BJ51*BJ97</f>
        <v>2105.5053327713463</v>
      </c>
      <c r="BK43" s="174">
        <f>Assumptions!BK51*BK97</f>
        <v>2114.9284766857108</v>
      </c>
      <c r="BL43" s="174">
        <f>Assumptions!BL51*BL97</f>
        <v>2124.3516206000759</v>
      </c>
      <c r="BM43" s="174">
        <f>Assumptions!BM51*BM97</f>
        <v>2133.7747645144404</v>
      </c>
      <c r="BN43" s="174">
        <f>Assumptions!BN51*BN97</f>
        <v>2143.197908428805</v>
      </c>
      <c r="BO43" s="174">
        <f>Assumptions!BO51*BO97</f>
        <v>2152.6210523431696</v>
      </c>
      <c r="BP43" s="174">
        <f>Assumptions!BP51*BP97</f>
        <v>2270.1464060704111</v>
      </c>
      <c r="BQ43" s="174">
        <f>Assumptions!BQ51*BQ97</f>
        <v>2280.0407071804939</v>
      </c>
      <c r="BR43" s="174">
        <f>Assumptions!BR51*BR97</f>
        <v>3053.2466777207692</v>
      </c>
      <c r="BS43" s="174">
        <f>Assumptions!BS51*BS97</f>
        <v>3066.4390792008799</v>
      </c>
      <c r="BT43" s="174">
        <f>Assumptions!BT51*BT97</f>
        <v>3079.6314806809905</v>
      </c>
      <c r="BU43" s="35"/>
      <c r="BV43" s="145">
        <f t="shared" ref="BV43:BZ45" si="30">SUMIF($M$3:$BT$3,BV$3,$M43:$BT43)</f>
        <v>14344.534018043274</v>
      </c>
      <c r="BW43" s="145">
        <f t="shared" si="30"/>
        <v>18817.772029607622</v>
      </c>
      <c r="BX43" s="145">
        <f t="shared" si="30"/>
        <v>20853.62255146385</v>
      </c>
      <c r="BY43" s="145">
        <f t="shared" si="30"/>
        <v>23714.035178193641</v>
      </c>
      <c r="BZ43" s="145">
        <f t="shared" si="30"/>
        <v>28619.965695054074</v>
      </c>
    </row>
    <row r="44" spans="1:78" ht="15.6">
      <c r="A44" s="144" t="str">
        <f>Assumptions!A52</f>
        <v>Utilities</v>
      </c>
      <c r="F44" s="152" t="str">
        <f>Assumptions!F52</f>
        <v>Emp/Monthly</v>
      </c>
      <c r="G44" s="61">
        <f>Assumptions!G52</f>
        <v>58.706117177409887</v>
      </c>
      <c r="H44" s="61">
        <f>Assumptions!H52</f>
        <v>78.562027568392651</v>
      </c>
      <c r="M44" s="174">
        <f>Assumptions!M52*M97</f>
        <v>763.17952330632852</v>
      </c>
      <c r="N44" s="174">
        <f>Assumptions!N52*N97</f>
        <v>767.55455440942637</v>
      </c>
      <c r="O44" s="174">
        <f>Assumptions!O52*O97</f>
        <v>771.92958551252434</v>
      </c>
      <c r="P44" s="174">
        <f>Assumptions!P52*P97</f>
        <v>776.30461661562219</v>
      </c>
      <c r="Q44" s="174">
        <f>Assumptions!Q52*Q97</f>
        <v>780.67964771872016</v>
      </c>
      <c r="R44" s="174">
        <f>Assumptions!R52*R97</f>
        <v>845.44350026965026</v>
      </c>
      <c r="S44" s="174">
        <f>Assumptions!S52*S97</f>
        <v>910.88043452874922</v>
      </c>
      <c r="T44" s="174">
        <f>Assumptions!T52*T97</f>
        <v>915.92854734001594</v>
      </c>
      <c r="U44" s="174">
        <f>Assumptions!U52*U97</f>
        <v>920.97666015128277</v>
      </c>
      <c r="V44" s="174">
        <f>Assumptions!V52*V97</f>
        <v>926.0247729625496</v>
      </c>
      <c r="W44" s="174">
        <f>Assumptions!W52*W97</f>
        <v>931.07288577381644</v>
      </c>
      <c r="X44" s="174">
        <f>Assumptions!X52*X97</f>
        <v>936.12099858508327</v>
      </c>
      <c r="Y44" s="174">
        <f>Assumptions!Y52*Y97</f>
        <v>1066.6583262491968</v>
      </c>
      <c r="Z44" s="174">
        <f>Assumptions!Z52*Z97</f>
        <v>1072.3795207686323</v>
      </c>
      <c r="AA44" s="174">
        <f>Assumptions!AA52*AA97</f>
        <v>1078.1007152880682</v>
      </c>
      <c r="AB44" s="174">
        <f>Assumptions!AB52*AB97</f>
        <v>1083.821909807504</v>
      </c>
      <c r="AC44" s="174">
        <f>Assumptions!AC52*AC97</f>
        <v>1089.5431043269396</v>
      </c>
      <c r="AD44" s="174">
        <f>Assumptions!AD52*AD97</f>
        <v>1095.2642988463751</v>
      </c>
      <c r="AE44" s="174">
        <f>Assumptions!AE52*AE97</f>
        <v>1100.9854933658107</v>
      </c>
      <c r="AF44" s="174">
        <f>Assumptions!AF52*AF97</f>
        <v>1106.7066878852463</v>
      </c>
      <c r="AG44" s="174">
        <f>Assumptions!AG52*AG97</f>
        <v>1177.8648166637809</v>
      </c>
      <c r="AH44" s="174">
        <f>Assumptions!AH52*AH97</f>
        <v>1183.9225520373009</v>
      </c>
      <c r="AI44" s="174">
        <f>Assumptions!AI52*AI97</f>
        <v>1189.9802874108209</v>
      </c>
      <c r="AJ44" s="174">
        <f>Assumptions!AJ52*AJ97</f>
        <v>1196.0380227843409</v>
      </c>
      <c r="AK44" s="174">
        <f>Assumptions!AK52*AK97</f>
        <v>1202.0957581578609</v>
      </c>
      <c r="AL44" s="174">
        <f>Assumptions!AL52*AL97</f>
        <v>1208.1534935313809</v>
      </c>
      <c r="AM44" s="174">
        <f>Assumptions!AM52*AM97</f>
        <v>1214.211228904901</v>
      </c>
      <c r="AN44" s="174">
        <f>Assumptions!AN52*AN97</f>
        <v>1220.2689642784212</v>
      </c>
      <c r="AO44" s="174">
        <f>Assumptions!AO52*AO97</f>
        <v>1226.3266996519412</v>
      </c>
      <c r="AP44" s="174">
        <f>Assumptions!AP52*AP97</f>
        <v>1232.3844350254612</v>
      </c>
      <c r="AQ44" s="174">
        <f>Assumptions!AQ52*AQ97</f>
        <v>1238.4421703989813</v>
      </c>
      <c r="AR44" s="174">
        <f>Assumptions!AR52*AR97</f>
        <v>1244.4999057725013</v>
      </c>
      <c r="AS44" s="174">
        <f>Assumptions!AS52*AS97</f>
        <v>1250.5576411460213</v>
      </c>
      <c r="AT44" s="174">
        <f>Assumptions!AT52*AT97</f>
        <v>1256.6153765195413</v>
      </c>
      <c r="AU44" s="174">
        <f>Assumptions!AU52*AU97</f>
        <v>1262.6731118930616</v>
      </c>
      <c r="AV44" s="174">
        <f>Assumptions!AV52*AV97</f>
        <v>1339.215894336947</v>
      </c>
      <c r="AW44" s="174">
        <f>Assumptions!AW52*AW97</f>
        <v>1345.6101705645517</v>
      </c>
      <c r="AX44" s="174">
        <f>Assumptions!AX52*AX97</f>
        <v>1352.0044467921562</v>
      </c>
      <c r="AY44" s="174">
        <f>Assumptions!AY52*AY97</f>
        <v>1358.3987230197606</v>
      </c>
      <c r="AZ44" s="174">
        <f>Assumptions!AZ52*AZ97</f>
        <v>1364.7929992473651</v>
      </c>
      <c r="BA44" s="174">
        <f>Assumptions!BA52*BA97</f>
        <v>1371.1872754749695</v>
      </c>
      <c r="BB44" s="174">
        <f>Assumptions!BB52*BB97</f>
        <v>1377.5815517025742</v>
      </c>
      <c r="BC44" s="174">
        <f>Assumptions!BC52*BC97</f>
        <v>1383.9758279301786</v>
      </c>
      <c r="BD44" s="174">
        <f>Assumptions!BD52*BD97</f>
        <v>1463.5474780608242</v>
      </c>
      <c r="BE44" s="174">
        <f>Assumptions!BE52*BE97</f>
        <v>1470.2782951425133</v>
      </c>
      <c r="BF44" s="174">
        <f>Assumptions!BF52*BF97</f>
        <v>1477.0091122242022</v>
      </c>
      <c r="BG44" s="174">
        <f>Assumptions!BG52*BG97</f>
        <v>1483.7399293058911</v>
      </c>
      <c r="BH44" s="174">
        <f>Assumptions!BH52*BH97</f>
        <v>1490.47074638758</v>
      </c>
      <c r="BI44" s="174">
        <f>Assumptions!BI52*BI97</f>
        <v>1497.2015634692689</v>
      </c>
      <c r="BJ44" s="174">
        <f>Assumptions!BJ52*BJ97</f>
        <v>1503.932380550958</v>
      </c>
      <c r="BK44" s="174">
        <f>Assumptions!BK52*BK97</f>
        <v>1510.6631976326469</v>
      </c>
      <c r="BL44" s="174">
        <f>Assumptions!BL52*BL97</f>
        <v>1517.3940147143358</v>
      </c>
      <c r="BM44" s="174">
        <f>Assumptions!BM52*BM97</f>
        <v>1524.1248317960249</v>
      </c>
      <c r="BN44" s="174">
        <f>Assumptions!BN52*BN97</f>
        <v>1530.8556488777137</v>
      </c>
      <c r="BO44" s="174">
        <f>Assumptions!BO52*BO97</f>
        <v>1537.5864659594026</v>
      </c>
      <c r="BP44" s="174">
        <f>Assumptions!BP52*BP97</f>
        <v>1621.5331471931461</v>
      </c>
      <c r="BQ44" s="174">
        <f>Assumptions!BQ52*BQ97</f>
        <v>1628.6005051289196</v>
      </c>
      <c r="BR44" s="174">
        <f>Assumptions!BR52*BR97</f>
        <v>2180.8904840862574</v>
      </c>
      <c r="BS44" s="174">
        <f>Assumptions!BS52*BS97</f>
        <v>2190.313628000622</v>
      </c>
      <c r="BT44" s="174">
        <f>Assumptions!BT52*BT97</f>
        <v>2199.7367719149861</v>
      </c>
      <c r="BU44" s="35"/>
      <c r="BV44" s="145">
        <f t="shared" si="30"/>
        <v>10246.095727173768</v>
      </c>
      <c r="BW44" s="145">
        <f t="shared" si="30"/>
        <v>13441.265735434017</v>
      </c>
      <c r="BX44" s="145">
        <f t="shared" si="30"/>
        <v>14895.444679617021</v>
      </c>
      <c r="BY44" s="145">
        <f t="shared" si="30"/>
        <v>16938.596555852568</v>
      </c>
      <c r="BZ44" s="145">
        <f t="shared" si="30"/>
        <v>20442.832639324282</v>
      </c>
    </row>
    <row r="45" spans="1:78">
      <c r="A45" s="144" t="str">
        <f>Assumptions!A53</f>
        <v>Advisory</v>
      </c>
      <c r="F45" s="175"/>
      <c r="G45" s="107"/>
      <c r="H45" s="107"/>
      <c r="M45" s="174">
        <f>Assumptions!$G$53</f>
        <v>2583.0691558060398</v>
      </c>
      <c r="N45" s="174">
        <f>Assumptions!$G$53</f>
        <v>2583.0691558060398</v>
      </c>
      <c r="O45" s="174">
        <f>Assumptions!$G$53</f>
        <v>2583.0691558060398</v>
      </c>
      <c r="P45" s="174">
        <f>Assumptions!$G$53</f>
        <v>2583.0691558060398</v>
      </c>
      <c r="Q45" s="174">
        <f>Assumptions!$G$53</f>
        <v>2583.0691558060398</v>
      </c>
      <c r="R45" s="174">
        <f>Assumptions!$G$53</f>
        <v>2583.0691558060398</v>
      </c>
      <c r="S45" s="174">
        <f>Assumptions!$G$53</f>
        <v>2583.0691558060398</v>
      </c>
      <c r="T45" s="174">
        <f>Assumptions!$G$53</f>
        <v>2583.0691558060398</v>
      </c>
      <c r="U45" s="174">
        <f>Assumptions!$G$53</f>
        <v>2583.0691558060398</v>
      </c>
      <c r="V45" s="174">
        <f>Assumptions!$G$53</f>
        <v>2583.0691558060398</v>
      </c>
      <c r="W45" s="174">
        <f>Assumptions!$G$53</f>
        <v>2583.0691558060398</v>
      </c>
      <c r="X45" s="174">
        <f>Assumptions!$G$53</f>
        <v>2583.0691558060398</v>
      </c>
      <c r="Y45" s="174">
        <f>Assumptions!$G$53</f>
        <v>2583.0691558060398</v>
      </c>
      <c r="Z45" s="174">
        <f>Assumptions!$G$53</f>
        <v>2583.0691558060398</v>
      </c>
      <c r="AA45" s="174">
        <f>Assumptions!$G$53</f>
        <v>2583.0691558060398</v>
      </c>
      <c r="AB45" s="174">
        <f>Assumptions!$G$53</f>
        <v>2583.0691558060398</v>
      </c>
      <c r="AC45" s="174">
        <f>Assumptions!$G$53</f>
        <v>2583.0691558060398</v>
      </c>
      <c r="AD45" s="174">
        <f>Assumptions!$G$53</f>
        <v>2583.0691558060398</v>
      </c>
      <c r="AE45" s="174">
        <f>Assumptions!$G$53</f>
        <v>2583.0691558060398</v>
      </c>
      <c r="AF45" s="174">
        <f>Assumptions!$G$53</f>
        <v>2583.0691558060398</v>
      </c>
      <c r="AG45" s="174">
        <f>Assumptions!$G$53</f>
        <v>2583.0691558060398</v>
      </c>
      <c r="AH45" s="174">
        <f>Assumptions!$G$53</f>
        <v>2583.0691558060398</v>
      </c>
      <c r="AI45" s="174">
        <f>Assumptions!$G$53</f>
        <v>2583.0691558060398</v>
      </c>
      <c r="AJ45" s="174">
        <f>Assumptions!$G$53</f>
        <v>2583.0691558060398</v>
      </c>
      <c r="AK45" s="174">
        <f>Assumptions!$G$53</f>
        <v>2583.0691558060398</v>
      </c>
      <c r="AL45" s="174">
        <f>Assumptions!$G$53</f>
        <v>2583.0691558060398</v>
      </c>
      <c r="AM45" s="174">
        <f>Assumptions!$G$53</f>
        <v>2583.0691558060398</v>
      </c>
      <c r="AN45" s="174">
        <f>Assumptions!$G$53</f>
        <v>2583.0691558060398</v>
      </c>
      <c r="AO45" s="174">
        <f>Assumptions!$G$53</f>
        <v>2583.0691558060398</v>
      </c>
      <c r="AP45" s="174">
        <f>Assumptions!$G$53</f>
        <v>2583.0691558060398</v>
      </c>
      <c r="AQ45" s="174">
        <f>Assumptions!$G$53</f>
        <v>2583.0691558060398</v>
      </c>
      <c r="AR45" s="174">
        <f>Assumptions!$G$53</f>
        <v>2583.0691558060398</v>
      </c>
      <c r="AS45" s="174">
        <f>Assumptions!$G$53</f>
        <v>2583.0691558060398</v>
      </c>
      <c r="AT45" s="174">
        <f>Assumptions!$G$53</f>
        <v>2583.0691558060398</v>
      </c>
      <c r="AU45" s="174">
        <f>Assumptions!$G$53</f>
        <v>2583.0691558060398</v>
      </c>
      <c r="AV45" s="174">
        <f>Assumptions!$G$53</f>
        <v>2583.0691558060398</v>
      </c>
      <c r="AW45" s="174">
        <f>Assumptions!$G$53</f>
        <v>2583.0691558060398</v>
      </c>
      <c r="AX45" s="174">
        <f>Assumptions!$G$53</f>
        <v>2583.0691558060398</v>
      </c>
      <c r="AY45" s="174">
        <f>Assumptions!$G$53</f>
        <v>2583.0691558060398</v>
      </c>
      <c r="AZ45" s="174">
        <f>Assumptions!$G$53</f>
        <v>2583.0691558060398</v>
      </c>
      <c r="BA45" s="174">
        <f>Assumptions!$G$53</f>
        <v>2583.0691558060398</v>
      </c>
      <c r="BB45" s="174">
        <f>Assumptions!$G$53</f>
        <v>2583.0691558060398</v>
      </c>
      <c r="BC45" s="174">
        <f>Assumptions!$G$53</f>
        <v>2583.0691558060398</v>
      </c>
      <c r="BD45" s="174">
        <f>Assumptions!$G$53</f>
        <v>2583.0691558060398</v>
      </c>
      <c r="BE45" s="174">
        <f>Assumptions!$G$53</f>
        <v>2583.0691558060398</v>
      </c>
      <c r="BF45" s="174">
        <f>Assumptions!$G$53</f>
        <v>2583.0691558060398</v>
      </c>
      <c r="BG45" s="174">
        <f>Assumptions!$G$53</f>
        <v>2583.0691558060398</v>
      </c>
      <c r="BH45" s="174">
        <f>Assumptions!$G$53</f>
        <v>2583.0691558060398</v>
      </c>
      <c r="BI45" s="174">
        <f>Assumptions!$G$53</f>
        <v>2583.0691558060398</v>
      </c>
      <c r="BJ45" s="174">
        <f>Assumptions!$G$53</f>
        <v>2583.0691558060398</v>
      </c>
      <c r="BK45" s="174">
        <f>Assumptions!$G$53</f>
        <v>2583.0691558060398</v>
      </c>
      <c r="BL45" s="174">
        <f>Assumptions!$G$53</f>
        <v>2583.0691558060398</v>
      </c>
      <c r="BM45" s="174">
        <f>Assumptions!$G$53</f>
        <v>2583.0691558060398</v>
      </c>
      <c r="BN45" s="174">
        <f>Assumptions!$G$53</f>
        <v>2583.0691558060398</v>
      </c>
      <c r="BO45" s="174">
        <f>Assumptions!$G$53</f>
        <v>2583.0691558060398</v>
      </c>
      <c r="BP45" s="174">
        <f>Assumptions!$G$53</f>
        <v>2583.0691558060398</v>
      </c>
      <c r="BQ45" s="174">
        <f>Assumptions!$G$53</f>
        <v>2583.0691558060398</v>
      </c>
      <c r="BR45" s="174">
        <f>Assumptions!$G$53</f>
        <v>2583.0691558060398</v>
      </c>
      <c r="BS45" s="174">
        <f>Assumptions!$G$53</f>
        <v>2583.0691558060398</v>
      </c>
      <c r="BT45" s="174">
        <f>Assumptions!$G$53</f>
        <v>2583.0691558060398</v>
      </c>
      <c r="BU45" s="35"/>
      <c r="BV45" s="145">
        <f t="shared" si="30"/>
        <v>30996.829869672471</v>
      </c>
      <c r="BW45" s="145">
        <f t="shared" si="30"/>
        <v>30996.829869672471</v>
      </c>
      <c r="BX45" s="145">
        <f t="shared" si="30"/>
        <v>30996.829869672471</v>
      </c>
      <c r="BY45" s="145">
        <f t="shared" si="30"/>
        <v>30996.829869672471</v>
      </c>
      <c r="BZ45" s="145">
        <f t="shared" si="30"/>
        <v>30996.829869672471</v>
      </c>
    </row>
    <row r="46" spans="1:78" ht="15.6">
      <c r="A46" s="142" t="str">
        <f>Assumptions!A54</f>
        <v>G&amp;A Team Roles &amp; Headcount</v>
      </c>
      <c r="BU46" s="35"/>
    </row>
    <row r="47" spans="1:78" ht="15.6">
      <c r="A47" s="144" t="str">
        <f>Assumptions!A55</f>
        <v>Account &amp; Finance</v>
      </c>
      <c r="F47" s="152" t="str">
        <f>Assumptions!F55</f>
        <v>Monthly Salary/Headcount</v>
      </c>
      <c r="G47" s="93">
        <f>Assumptions!G55</f>
        <v>469.64893741927909</v>
      </c>
      <c r="H47" s="68">
        <f>Assumptions!H55</f>
        <v>0.05</v>
      </c>
      <c r="I47" s="171" t="str">
        <f>Assumptions!I55</f>
        <v>Annual Increment</v>
      </c>
      <c r="M47" s="135">
        <f>($G47*Assumptions!M55)*(1+'Cost Buildup'!$H47)^(M$3-1)</f>
        <v>469.64893741927909</v>
      </c>
      <c r="N47" s="135">
        <f>($G47*Assumptions!N55)*(1+'Cost Buildup'!$H47)^(N$3-1)</f>
        <v>469.64893741927909</v>
      </c>
      <c r="O47" s="135">
        <f>($G47*Assumptions!O55)*(1+'Cost Buildup'!$H47)^(O$3-1)</f>
        <v>469.64893741927909</v>
      </c>
      <c r="P47" s="135">
        <f>($G47*Assumptions!P55)*(1+'Cost Buildup'!$H47)^(P$3-1)</f>
        <v>469.64893741927909</v>
      </c>
      <c r="Q47" s="135">
        <f>($G47*Assumptions!Q55)*(1+'Cost Buildup'!$H47)^(Q$3-1)</f>
        <v>469.64893741927909</v>
      </c>
      <c r="R47" s="135">
        <f>($G47*Assumptions!R55)*(1+'Cost Buildup'!$H47)^(R$3-1)</f>
        <v>469.64893741927909</v>
      </c>
      <c r="S47" s="135">
        <f>($G47*Assumptions!S55)*(1+'Cost Buildup'!$H47)^(S$3-1)</f>
        <v>469.64893741927909</v>
      </c>
      <c r="T47" s="135">
        <f>($G47*Assumptions!T55)*(1+'Cost Buildup'!$H47)^(T$3-1)</f>
        <v>469.64893741927909</v>
      </c>
      <c r="U47" s="135">
        <f>($G47*Assumptions!U55)*(1+'Cost Buildup'!$H47)^(U$3-1)</f>
        <v>469.64893741927909</v>
      </c>
      <c r="V47" s="135">
        <f>($G47*Assumptions!V55)*(1+'Cost Buildup'!$H47)^(V$3-1)</f>
        <v>469.64893741927909</v>
      </c>
      <c r="W47" s="135">
        <f>($G47*Assumptions!W55)*(1+'Cost Buildup'!$H47)^(W$3-1)</f>
        <v>469.64893741927909</v>
      </c>
      <c r="X47" s="135">
        <f>($G47*Assumptions!X55)*(1+'Cost Buildup'!$H47)^(X$3-1)</f>
        <v>469.64893741927909</v>
      </c>
      <c r="Y47" s="135">
        <f>($G47*Assumptions!Y55)*(1+'Cost Buildup'!$H47)^(Y$3-1)</f>
        <v>986.26276858048618</v>
      </c>
      <c r="Z47" s="135">
        <f>($G47*Assumptions!Z55)*(1+'Cost Buildup'!$H47)^(Z$3-1)</f>
        <v>986.26276858048618</v>
      </c>
      <c r="AA47" s="135">
        <f>($G47*Assumptions!AA55)*(1+'Cost Buildup'!$H47)^(AA$3-1)</f>
        <v>986.26276858048618</v>
      </c>
      <c r="AB47" s="135">
        <f>($G47*Assumptions!AB55)*(1+'Cost Buildup'!$H47)^(AB$3-1)</f>
        <v>986.26276858048618</v>
      </c>
      <c r="AC47" s="135">
        <f>($G47*Assumptions!AC55)*(1+'Cost Buildup'!$H47)^(AC$3-1)</f>
        <v>986.26276858048618</v>
      </c>
      <c r="AD47" s="135">
        <f>($G47*Assumptions!AD55)*(1+'Cost Buildup'!$H47)^(AD$3-1)</f>
        <v>986.26276858048618</v>
      </c>
      <c r="AE47" s="135">
        <f>($G47*Assumptions!AE55)*(1+'Cost Buildup'!$H47)^(AE$3-1)</f>
        <v>986.26276858048618</v>
      </c>
      <c r="AF47" s="135">
        <f>($G47*Assumptions!AF55)*(1+'Cost Buildup'!$H47)^(AF$3-1)</f>
        <v>986.26276858048618</v>
      </c>
      <c r="AG47" s="135">
        <f>($G47*Assumptions!AG55)*(1+'Cost Buildup'!$H47)^(AG$3-1)</f>
        <v>986.26276858048618</v>
      </c>
      <c r="AH47" s="135">
        <f>($G47*Assumptions!AH55)*(1+'Cost Buildup'!$H47)^(AH$3-1)</f>
        <v>986.26276858048618</v>
      </c>
      <c r="AI47" s="135">
        <f>($G47*Assumptions!AI55)*(1+'Cost Buildup'!$H47)^(AI$3-1)</f>
        <v>986.26276858048618</v>
      </c>
      <c r="AJ47" s="135">
        <f>($G47*Assumptions!AJ55)*(1+'Cost Buildup'!$H47)^(AJ$3-1)</f>
        <v>986.26276858048618</v>
      </c>
      <c r="AK47" s="135">
        <f>($G47*Assumptions!AK55)*(1+'Cost Buildup'!$H47)^(AK$3-1)</f>
        <v>1035.5759070095105</v>
      </c>
      <c r="AL47" s="135">
        <f>($G47*Assumptions!AL55)*(1+'Cost Buildup'!$H47)^(AL$3-1)</f>
        <v>1035.5759070095105</v>
      </c>
      <c r="AM47" s="135">
        <f>($G47*Assumptions!AM55)*(1+'Cost Buildup'!$H47)^(AM$3-1)</f>
        <v>1035.5759070095105</v>
      </c>
      <c r="AN47" s="135">
        <f>($G47*Assumptions!AN55)*(1+'Cost Buildup'!$H47)^(AN$3-1)</f>
        <v>1035.5759070095105</v>
      </c>
      <c r="AO47" s="135">
        <f>($G47*Assumptions!AO55)*(1+'Cost Buildup'!$H47)^(AO$3-1)</f>
        <v>1035.5759070095105</v>
      </c>
      <c r="AP47" s="135">
        <f>($G47*Assumptions!AP55)*(1+'Cost Buildup'!$H47)^(AP$3-1)</f>
        <v>1035.5759070095105</v>
      </c>
      <c r="AQ47" s="135">
        <f>($G47*Assumptions!AQ55)*(1+'Cost Buildup'!$H47)^(AQ$3-1)</f>
        <v>1035.5759070095105</v>
      </c>
      <c r="AR47" s="135">
        <f>($G47*Assumptions!AR55)*(1+'Cost Buildup'!$H47)^(AR$3-1)</f>
        <v>1035.5759070095105</v>
      </c>
      <c r="AS47" s="135">
        <f>($G47*Assumptions!AS55)*(1+'Cost Buildup'!$H47)^(AS$3-1)</f>
        <v>1035.5759070095105</v>
      </c>
      <c r="AT47" s="135">
        <f>($G47*Assumptions!AT55)*(1+'Cost Buildup'!$H47)^(AT$3-1)</f>
        <v>1035.5759070095105</v>
      </c>
      <c r="AU47" s="135">
        <f>($G47*Assumptions!AU55)*(1+'Cost Buildup'!$H47)^(AU$3-1)</f>
        <v>1035.5759070095105</v>
      </c>
      <c r="AV47" s="135">
        <f>($G47*Assumptions!AV55)*(1+'Cost Buildup'!$H47)^(AV$3-1)</f>
        <v>1035.5759070095105</v>
      </c>
      <c r="AW47" s="135">
        <f>($G47*Assumptions!AW55)*(1+'Cost Buildup'!$H47)^(AW$3-1)</f>
        <v>1087.354702359986</v>
      </c>
      <c r="AX47" s="135">
        <f>($G47*Assumptions!AX55)*(1+'Cost Buildup'!$H47)^(AX$3-1)</f>
        <v>1087.354702359986</v>
      </c>
      <c r="AY47" s="135">
        <f>($G47*Assumptions!AY55)*(1+'Cost Buildup'!$H47)^(AY$3-1)</f>
        <v>1087.354702359986</v>
      </c>
      <c r="AZ47" s="135">
        <f>($G47*Assumptions!AZ55)*(1+'Cost Buildup'!$H47)^(AZ$3-1)</f>
        <v>1087.354702359986</v>
      </c>
      <c r="BA47" s="135">
        <f>($G47*Assumptions!BA55)*(1+'Cost Buildup'!$H47)^(BA$3-1)</f>
        <v>1087.354702359986</v>
      </c>
      <c r="BB47" s="135">
        <f>($G47*Assumptions!BB55)*(1+'Cost Buildup'!$H47)^(BB$3-1)</f>
        <v>1087.354702359986</v>
      </c>
      <c r="BC47" s="135">
        <f>($G47*Assumptions!BC55)*(1+'Cost Buildup'!$H47)^(BC$3-1)</f>
        <v>1087.354702359986</v>
      </c>
      <c r="BD47" s="135">
        <f>($G47*Assumptions!BD55)*(1+'Cost Buildup'!$H47)^(BD$3-1)</f>
        <v>1087.354702359986</v>
      </c>
      <c r="BE47" s="135">
        <f>($G47*Assumptions!BE55)*(1+'Cost Buildup'!$H47)^(BE$3-1)</f>
        <v>1087.354702359986</v>
      </c>
      <c r="BF47" s="135">
        <f>($G47*Assumptions!BF55)*(1+'Cost Buildup'!$H47)^(BF$3-1)</f>
        <v>1087.354702359986</v>
      </c>
      <c r="BG47" s="135">
        <f>($G47*Assumptions!BG55)*(1+'Cost Buildup'!$H47)^(BG$3-1)</f>
        <v>1087.354702359986</v>
      </c>
      <c r="BH47" s="135">
        <f>($G47*Assumptions!BH55)*(1+'Cost Buildup'!$H47)^(BH$3-1)</f>
        <v>1087.354702359986</v>
      </c>
      <c r="BI47" s="135">
        <f>($G47*Assumptions!BI55)*(1+'Cost Buildup'!$H47)^(BI$3-1)</f>
        <v>1141.7224374779853</v>
      </c>
      <c r="BJ47" s="135">
        <f>($G47*Assumptions!BJ55)*(1+'Cost Buildup'!$H47)^(BJ$3-1)</f>
        <v>1141.7224374779853</v>
      </c>
      <c r="BK47" s="135">
        <f>($G47*Assumptions!BK55)*(1+'Cost Buildup'!$H47)^(BK$3-1)</f>
        <v>1141.7224374779853</v>
      </c>
      <c r="BL47" s="135">
        <f>($G47*Assumptions!BL55)*(1+'Cost Buildup'!$H47)^(BL$3-1)</f>
        <v>1141.7224374779853</v>
      </c>
      <c r="BM47" s="135">
        <f>($G47*Assumptions!BM55)*(1+'Cost Buildup'!$H47)^(BM$3-1)</f>
        <v>1141.7224374779853</v>
      </c>
      <c r="BN47" s="135">
        <f>($G47*Assumptions!BN55)*(1+'Cost Buildup'!$H47)^(BN$3-1)</f>
        <v>1141.7224374779853</v>
      </c>
      <c r="BO47" s="135">
        <f>($G47*Assumptions!BO55)*(1+'Cost Buildup'!$H47)^(BO$3-1)</f>
        <v>1141.7224374779853</v>
      </c>
      <c r="BP47" s="135">
        <f>($G47*Assumptions!BP55)*(1+'Cost Buildup'!$H47)^(BP$3-1)</f>
        <v>1141.7224374779853</v>
      </c>
      <c r="BQ47" s="135">
        <f>($G47*Assumptions!BQ55)*(1+'Cost Buildup'!$H47)^(BQ$3-1)</f>
        <v>1141.7224374779853</v>
      </c>
      <c r="BR47" s="135">
        <f>($G47*Assumptions!BR55)*(1+'Cost Buildup'!$H47)^(BR$3-1)</f>
        <v>1141.7224374779853</v>
      </c>
      <c r="BS47" s="135">
        <f>($G47*Assumptions!BS55)*(1+'Cost Buildup'!$H47)^(BS$3-1)</f>
        <v>1141.7224374779853</v>
      </c>
      <c r="BT47" s="135">
        <f>($G47*Assumptions!BT55)*(1+'Cost Buildup'!$H47)^(BT$3-1)</f>
        <v>1141.7224374779853</v>
      </c>
      <c r="BU47" s="35"/>
      <c r="BV47" s="145">
        <f t="shared" ref="BV47:BZ49" si="31">SUMIF($M$3:$BT$3,BV$3,$M47:$BT47)</f>
        <v>5635.7872490313484</v>
      </c>
      <c r="BW47" s="145">
        <f t="shared" si="31"/>
        <v>11835.153222965833</v>
      </c>
      <c r="BX47" s="145">
        <f t="shared" si="31"/>
        <v>12426.910884114122</v>
      </c>
      <c r="BY47" s="145">
        <f t="shared" si="31"/>
        <v>13048.256428319832</v>
      </c>
      <c r="BZ47" s="145">
        <f t="shared" si="31"/>
        <v>13700.669249735824</v>
      </c>
    </row>
    <row r="48" spans="1:78" ht="15.6">
      <c r="A48" s="144" t="str">
        <f>Assumptions!A56</f>
        <v>Legal</v>
      </c>
      <c r="F48" s="152" t="str">
        <f>Assumptions!F56</f>
        <v>Monthly Salary/Headcount</v>
      </c>
      <c r="G48" s="93">
        <f>Assumptions!G56</f>
        <v>293.53058588704943</v>
      </c>
      <c r="H48" s="68">
        <f>Assumptions!H56</f>
        <v>0</v>
      </c>
      <c r="I48" s="171" t="str">
        <f>Assumptions!I56</f>
        <v>Annual Increment</v>
      </c>
      <c r="M48" s="135">
        <f>($G48*Assumptions!M56)*(1+'Cost Buildup'!$H48)^(M$3-1)</f>
        <v>293.53058588704943</v>
      </c>
      <c r="N48" s="135">
        <f>($G48*Assumptions!N56)*(1+'Cost Buildup'!$H48)^(N$3-1)</f>
        <v>293.53058588704943</v>
      </c>
      <c r="O48" s="135">
        <f>($G48*Assumptions!O56)*(1+'Cost Buildup'!$H48)^(O$3-1)</f>
        <v>293.53058588704943</v>
      </c>
      <c r="P48" s="135">
        <f>($G48*Assumptions!P56)*(1+'Cost Buildup'!$H48)^(P$3-1)</f>
        <v>293.53058588704943</v>
      </c>
      <c r="Q48" s="135">
        <f>($G48*Assumptions!Q56)*(1+'Cost Buildup'!$H48)^(Q$3-1)</f>
        <v>293.53058588704943</v>
      </c>
      <c r="R48" s="135">
        <f>($G48*Assumptions!R56)*(1+'Cost Buildup'!$H48)^(R$3-1)</f>
        <v>293.53058588704943</v>
      </c>
      <c r="S48" s="135">
        <f>($G48*Assumptions!S56)*(1+'Cost Buildup'!$H48)^(S$3-1)</f>
        <v>293.53058588704943</v>
      </c>
      <c r="T48" s="135">
        <f>($G48*Assumptions!T56)*(1+'Cost Buildup'!$H48)^(T$3-1)</f>
        <v>293.53058588704943</v>
      </c>
      <c r="U48" s="135">
        <f>($G48*Assumptions!U56)*(1+'Cost Buildup'!$H48)^(U$3-1)</f>
        <v>293.53058588704943</v>
      </c>
      <c r="V48" s="135">
        <f>($G48*Assumptions!V56)*(1+'Cost Buildup'!$H48)^(V$3-1)</f>
        <v>293.53058588704943</v>
      </c>
      <c r="W48" s="135">
        <f>($G48*Assumptions!W56)*(1+'Cost Buildup'!$H48)^(W$3-1)</f>
        <v>293.53058588704943</v>
      </c>
      <c r="X48" s="135">
        <f>($G48*Assumptions!X56)*(1+'Cost Buildup'!$H48)^(X$3-1)</f>
        <v>293.53058588704943</v>
      </c>
      <c r="Y48" s="135">
        <f>($G48*Assumptions!Y56)*(1+'Cost Buildup'!$H48)^(Y$3-1)</f>
        <v>587.06117177409885</v>
      </c>
      <c r="Z48" s="135">
        <f>($G48*Assumptions!Z56)*(1+'Cost Buildup'!$H48)^(Z$3-1)</f>
        <v>587.06117177409885</v>
      </c>
      <c r="AA48" s="135">
        <f>($G48*Assumptions!AA56)*(1+'Cost Buildup'!$H48)^(AA$3-1)</f>
        <v>587.06117177409885</v>
      </c>
      <c r="AB48" s="135">
        <f>($G48*Assumptions!AB56)*(1+'Cost Buildup'!$H48)^(AB$3-1)</f>
        <v>587.06117177409885</v>
      </c>
      <c r="AC48" s="135">
        <f>($G48*Assumptions!AC56)*(1+'Cost Buildup'!$H48)^(AC$3-1)</f>
        <v>587.06117177409885</v>
      </c>
      <c r="AD48" s="135">
        <f>($G48*Assumptions!AD56)*(1+'Cost Buildup'!$H48)^(AD$3-1)</f>
        <v>587.06117177409885</v>
      </c>
      <c r="AE48" s="135">
        <f>($G48*Assumptions!AE56)*(1+'Cost Buildup'!$H48)^(AE$3-1)</f>
        <v>587.06117177409885</v>
      </c>
      <c r="AF48" s="135">
        <f>($G48*Assumptions!AF56)*(1+'Cost Buildup'!$H48)^(AF$3-1)</f>
        <v>587.06117177409885</v>
      </c>
      <c r="AG48" s="135">
        <f>($G48*Assumptions!AG56)*(1+'Cost Buildup'!$H48)^(AG$3-1)</f>
        <v>587.06117177409885</v>
      </c>
      <c r="AH48" s="135">
        <f>($G48*Assumptions!AH56)*(1+'Cost Buildup'!$H48)^(AH$3-1)</f>
        <v>587.06117177409885</v>
      </c>
      <c r="AI48" s="135">
        <f>($G48*Assumptions!AI56)*(1+'Cost Buildup'!$H48)^(AI$3-1)</f>
        <v>587.06117177409885</v>
      </c>
      <c r="AJ48" s="135">
        <f>($G48*Assumptions!AJ56)*(1+'Cost Buildup'!$H48)^(AJ$3-1)</f>
        <v>587.06117177409885</v>
      </c>
      <c r="AK48" s="135">
        <f>($G48*Assumptions!AK56)*(1+'Cost Buildup'!$H48)^(AK$3-1)</f>
        <v>587.06117177409885</v>
      </c>
      <c r="AL48" s="135">
        <f>($G48*Assumptions!AL56)*(1+'Cost Buildup'!$H48)^(AL$3-1)</f>
        <v>587.06117177409885</v>
      </c>
      <c r="AM48" s="135">
        <f>($G48*Assumptions!AM56)*(1+'Cost Buildup'!$H48)^(AM$3-1)</f>
        <v>587.06117177409885</v>
      </c>
      <c r="AN48" s="135">
        <f>($G48*Assumptions!AN56)*(1+'Cost Buildup'!$H48)^(AN$3-1)</f>
        <v>587.06117177409885</v>
      </c>
      <c r="AO48" s="135">
        <f>($G48*Assumptions!AO56)*(1+'Cost Buildup'!$H48)^(AO$3-1)</f>
        <v>587.06117177409885</v>
      </c>
      <c r="AP48" s="135">
        <f>($G48*Assumptions!AP56)*(1+'Cost Buildup'!$H48)^(AP$3-1)</f>
        <v>587.06117177409885</v>
      </c>
      <c r="AQ48" s="135">
        <f>($G48*Assumptions!AQ56)*(1+'Cost Buildup'!$H48)^(AQ$3-1)</f>
        <v>587.06117177409885</v>
      </c>
      <c r="AR48" s="135">
        <f>($G48*Assumptions!AR56)*(1+'Cost Buildup'!$H48)^(AR$3-1)</f>
        <v>587.06117177409885</v>
      </c>
      <c r="AS48" s="135">
        <f>($G48*Assumptions!AS56)*(1+'Cost Buildup'!$H48)^(AS$3-1)</f>
        <v>587.06117177409885</v>
      </c>
      <c r="AT48" s="135">
        <f>($G48*Assumptions!AT56)*(1+'Cost Buildup'!$H48)^(AT$3-1)</f>
        <v>587.06117177409885</v>
      </c>
      <c r="AU48" s="135">
        <f>($G48*Assumptions!AU56)*(1+'Cost Buildup'!$H48)^(AU$3-1)</f>
        <v>587.06117177409885</v>
      </c>
      <c r="AV48" s="135">
        <f>($G48*Assumptions!AV56)*(1+'Cost Buildup'!$H48)^(AV$3-1)</f>
        <v>587.06117177409885</v>
      </c>
      <c r="AW48" s="135">
        <f>($G48*Assumptions!AW56)*(1+'Cost Buildup'!$H48)^(AW$3-1)</f>
        <v>587.06117177409885</v>
      </c>
      <c r="AX48" s="135">
        <f>($G48*Assumptions!AX56)*(1+'Cost Buildup'!$H48)^(AX$3-1)</f>
        <v>587.06117177409885</v>
      </c>
      <c r="AY48" s="135">
        <f>($G48*Assumptions!AY56)*(1+'Cost Buildup'!$H48)^(AY$3-1)</f>
        <v>587.06117177409885</v>
      </c>
      <c r="AZ48" s="135">
        <f>($G48*Assumptions!AZ56)*(1+'Cost Buildup'!$H48)^(AZ$3-1)</f>
        <v>587.06117177409885</v>
      </c>
      <c r="BA48" s="135">
        <f>($G48*Assumptions!BA56)*(1+'Cost Buildup'!$H48)^(BA$3-1)</f>
        <v>587.06117177409885</v>
      </c>
      <c r="BB48" s="135">
        <f>($G48*Assumptions!BB56)*(1+'Cost Buildup'!$H48)^(BB$3-1)</f>
        <v>587.06117177409885</v>
      </c>
      <c r="BC48" s="135">
        <f>($G48*Assumptions!BC56)*(1+'Cost Buildup'!$H48)^(BC$3-1)</f>
        <v>587.06117177409885</v>
      </c>
      <c r="BD48" s="135">
        <f>($G48*Assumptions!BD56)*(1+'Cost Buildup'!$H48)^(BD$3-1)</f>
        <v>587.06117177409885</v>
      </c>
      <c r="BE48" s="135">
        <f>($G48*Assumptions!BE56)*(1+'Cost Buildup'!$H48)^(BE$3-1)</f>
        <v>587.06117177409885</v>
      </c>
      <c r="BF48" s="135">
        <f>($G48*Assumptions!BF56)*(1+'Cost Buildup'!$H48)^(BF$3-1)</f>
        <v>587.06117177409885</v>
      </c>
      <c r="BG48" s="135">
        <f>($G48*Assumptions!BG56)*(1+'Cost Buildup'!$H48)^(BG$3-1)</f>
        <v>587.06117177409885</v>
      </c>
      <c r="BH48" s="135">
        <f>($G48*Assumptions!BH56)*(1+'Cost Buildup'!$H48)^(BH$3-1)</f>
        <v>587.06117177409885</v>
      </c>
      <c r="BI48" s="135">
        <f>($G48*Assumptions!BI56)*(1+'Cost Buildup'!$H48)^(BI$3-1)</f>
        <v>587.06117177409885</v>
      </c>
      <c r="BJ48" s="135">
        <f>($G48*Assumptions!BJ56)*(1+'Cost Buildup'!$H48)^(BJ$3-1)</f>
        <v>587.06117177409885</v>
      </c>
      <c r="BK48" s="135">
        <f>($G48*Assumptions!BK56)*(1+'Cost Buildup'!$H48)^(BK$3-1)</f>
        <v>587.06117177409885</v>
      </c>
      <c r="BL48" s="135">
        <f>($G48*Assumptions!BL56)*(1+'Cost Buildup'!$H48)^(BL$3-1)</f>
        <v>587.06117177409885</v>
      </c>
      <c r="BM48" s="135">
        <f>($G48*Assumptions!BM56)*(1+'Cost Buildup'!$H48)^(BM$3-1)</f>
        <v>587.06117177409885</v>
      </c>
      <c r="BN48" s="135">
        <f>($G48*Assumptions!BN56)*(1+'Cost Buildup'!$H48)^(BN$3-1)</f>
        <v>587.06117177409885</v>
      </c>
      <c r="BO48" s="135">
        <f>($G48*Assumptions!BO56)*(1+'Cost Buildup'!$H48)^(BO$3-1)</f>
        <v>587.06117177409885</v>
      </c>
      <c r="BP48" s="135">
        <f>($G48*Assumptions!BP56)*(1+'Cost Buildup'!$H48)^(BP$3-1)</f>
        <v>587.06117177409885</v>
      </c>
      <c r="BQ48" s="135">
        <f>($G48*Assumptions!BQ56)*(1+'Cost Buildup'!$H48)^(BQ$3-1)</f>
        <v>587.06117177409885</v>
      </c>
      <c r="BR48" s="135">
        <f>($G48*Assumptions!BR56)*(1+'Cost Buildup'!$H48)^(BR$3-1)</f>
        <v>587.06117177409885</v>
      </c>
      <c r="BS48" s="135">
        <f>($G48*Assumptions!BS56)*(1+'Cost Buildup'!$H48)^(BS$3-1)</f>
        <v>587.06117177409885</v>
      </c>
      <c r="BT48" s="135">
        <f>($G48*Assumptions!BT56)*(1+'Cost Buildup'!$H48)^(BT$3-1)</f>
        <v>587.06117177409885</v>
      </c>
      <c r="BU48" s="35"/>
      <c r="BV48" s="145">
        <f t="shared" si="31"/>
        <v>3522.3670306445924</v>
      </c>
      <c r="BW48" s="145">
        <f t="shared" si="31"/>
        <v>7044.7340612891849</v>
      </c>
      <c r="BX48" s="145">
        <f t="shared" si="31"/>
        <v>7044.7340612891849</v>
      </c>
      <c r="BY48" s="145">
        <f t="shared" si="31"/>
        <v>7044.7340612891849</v>
      </c>
      <c r="BZ48" s="145">
        <f t="shared" si="31"/>
        <v>7044.7340612891849</v>
      </c>
    </row>
    <row r="49" spans="1:78" ht="15.6">
      <c r="A49" s="144" t="str">
        <f>Assumptions!A57</f>
        <v>HR</v>
      </c>
      <c r="F49" s="152" t="str">
        <f>Assumptions!F57</f>
        <v>Monthly Salary/Headcount</v>
      </c>
      <c r="G49" s="93">
        <f>Assumptions!G57</f>
        <v>704.47340612891867</v>
      </c>
      <c r="H49" s="68">
        <f>Assumptions!H57</f>
        <v>0.05</v>
      </c>
      <c r="I49" s="171" t="str">
        <f>Assumptions!I57</f>
        <v>Annual Increment</v>
      </c>
      <c r="M49" s="176">
        <f>($G49*Assumptions!M57)*(1+'Cost Buildup'!$H49)^(M$3-1)</f>
        <v>0</v>
      </c>
      <c r="N49" s="135">
        <f>($G49*Assumptions!N57)*(1+'Cost Buildup'!$H49)^(N$3-1)</f>
        <v>0</v>
      </c>
      <c r="O49" s="135">
        <f>($G49*Assumptions!O57)*(1+'Cost Buildup'!$H49)^(O$3-1)</f>
        <v>0</v>
      </c>
      <c r="P49" s="135">
        <f>($G49*Assumptions!P57)*(1+'Cost Buildup'!$H49)^(P$3-1)</f>
        <v>0</v>
      </c>
      <c r="Q49" s="135">
        <f>($G49*Assumptions!Q57)*(1+'Cost Buildup'!$H49)^(Q$3-1)</f>
        <v>0</v>
      </c>
      <c r="R49" s="135">
        <f>($G49*Assumptions!R57)*(1+'Cost Buildup'!$H49)^(R$3-1)</f>
        <v>0</v>
      </c>
      <c r="S49" s="135">
        <f>($G49*Assumptions!S57)*(1+'Cost Buildup'!$H49)^(S$3-1)</f>
        <v>704.47340612891867</v>
      </c>
      <c r="T49" s="135">
        <f>($G49*Assumptions!T57)*(1+'Cost Buildup'!$H49)^(T$3-1)</f>
        <v>704.47340612891867</v>
      </c>
      <c r="U49" s="135">
        <f>($G49*Assumptions!U57)*(1+'Cost Buildup'!$H49)^(U$3-1)</f>
        <v>704.47340612891867</v>
      </c>
      <c r="V49" s="135">
        <f>($G49*Assumptions!V57)*(1+'Cost Buildup'!$H49)^(V$3-1)</f>
        <v>704.47340612891867</v>
      </c>
      <c r="W49" s="135">
        <f>($G49*Assumptions!W57)*(1+'Cost Buildup'!$H49)^(W$3-1)</f>
        <v>704.47340612891867</v>
      </c>
      <c r="X49" s="135">
        <f>($G49*Assumptions!X57)*(1+'Cost Buildup'!$H49)^(X$3-1)</f>
        <v>704.47340612891867</v>
      </c>
      <c r="Y49" s="135">
        <f>($G49*Assumptions!Y57)*(1+'Cost Buildup'!$H49)^(Y$3-1)</f>
        <v>739.69707643536458</v>
      </c>
      <c r="Z49" s="135">
        <f>($G49*Assumptions!Z57)*(1+'Cost Buildup'!$H49)^(Z$3-1)</f>
        <v>739.69707643536458</v>
      </c>
      <c r="AA49" s="135">
        <f>($G49*Assumptions!AA57)*(1+'Cost Buildup'!$H49)^(AA$3-1)</f>
        <v>739.69707643536458</v>
      </c>
      <c r="AB49" s="135">
        <f>($G49*Assumptions!AB57)*(1+'Cost Buildup'!$H49)^(AB$3-1)</f>
        <v>739.69707643536458</v>
      </c>
      <c r="AC49" s="135">
        <f>($G49*Assumptions!AC57)*(1+'Cost Buildup'!$H49)^(AC$3-1)</f>
        <v>739.69707643536458</v>
      </c>
      <c r="AD49" s="135">
        <f>($G49*Assumptions!AD57)*(1+'Cost Buildup'!$H49)^(AD$3-1)</f>
        <v>739.69707643536458</v>
      </c>
      <c r="AE49" s="135">
        <f>($G49*Assumptions!AE57)*(1+'Cost Buildup'!$H49)^(AE$3-1)</f>
        <v>739.69707643536458</v>
      </c>
      <c r="AF49" s="135">
        <f>($G49*Assumptions!AF57)*(1+'Cost Buildup'!$H49)^(AF$3-1)</f>
        <v>739.69707643536458</v>
      </c>
      <c r="AG49" s="135">
        <f>($G49*Assumptions!AG57)*(1+'Cost Buildup'!$H49)^(AG$3-1)</f>
        <v>739.69707643536458</v>
      </c>
      <c r="AH49" s="135">
        <f>($G49*Assumptions!AH57)*(1+'Cost Buildup'!$H49)^(AH$3-1)</f>
        <v>739.69707643536458</v>
      </c>
      <c r="AI49" s="135">
        <f>($G49*Assumptions!AI57)*(1+'Cost Buildup'!$H49)^(AI$3-1)</f>
        <v>739.69707643536458</v>
      </c>
      <c r="AJ49" s="135">
        <f>($G49*Assumptions!AJ57)*(1+'Cost Buildup'!$H49)^(AJ$3-1)</f>
        <v>739.69707643536458</v>
      </c>
      <c r="AK49" s="135">
        <f>($G49*Assumptions!AK57)*(1+'Cost Buildup'!$H49)^(AK$3-1)</f>
        <v>776.68193025713288</v>
      </c>
      <c r="AL49" s="135">
        <f>($G49*Assumptions!AL57)*(1+'Cost Buildup'!$H49)^(AL$3-1)</f>
        <v>776.68193025713288</v>
      </c>
      <c r="AM49" s="135">
        <f>($G49*Assumptions!AM57)*(1+'Cost Buildup'!$H49)^(AM$3-1)</f>
        <v>776.68193025713288</v>
      </c>
      <c r="AN49" s="135">
        <f>($G49*Assumptions!AN57)*(1+'Cost Buildup'!$H49)^(AN$3-1)</f>
        <v>776.68193025713288</v>
      </c>
      <c r="AO49" s="135">
        <f>($G49*Assumptions!AO57)*(1+'Cost Buildup'!$H49)^(AO$3-1)</f>
        <v>776.68193025713288</v>
      </c>
      <c r="AP49" s="135">
        <f>($G49*Assumptions!AP57)*(1+'Cost Buildup'!$H49)^(AP$3-1)</f>
        <v>776.68193025713288</v>
      </c>
      <c r="AQ49" s="135">
        <f>($G49*Assumptions!AQ57)*(1+'Cost Buildup'!$H49)^(AQ$3-1)</f>
        <v>776.68193025713288</v>
      </c>
      <c r="AR49" s="135">
        <f>($G49*Assumptions!AR57)*(1+'Cost Buildup'!$H49)^(AR$3-1)</f>
        <v>776.68193025713288</v>
      </c>
      <c r="AS49" s="135">
        <f>($G49*Assumptions!AS57)*(1+'Cost Buildup'!$H49)^(AS$3-1)</f>
        <v>776.68193025713288</v>
      </c>
      <c r="AT49" s="135">
        <f>($G49*Assumptions!AT57)*(1+'Cost Buildup'!$H49)^(AT$3-1)</f>
        <v>776.68193025713288</v>
      </c>
      <c r="AU49" s="135">
        <f>($G49*Assumptions!AU57)*(1+'Cost Buildup'!$H49)^(AU$3-1)</f>
        <v>776.68193025713288</v>
      </c>
      <c r="AV49" s="135">
        <f>($G49*Assumptions!AV57)*(1+'Cost Buildup'!$H49)^(AV$3-1)</f>
        <v>776.68193025713288</v>
      </c>
      <c r="AW49" s="135">
        <f>($G49*Assumptions!AW57)*(1+'Cost Buildup'!$H49)^(AW$3-1)</f>
        <v>815.51602676998959</v>
      </c>
      <c r="AX49" s="135">
        <f>($G49*Assumptions!AX57)*(1+'Cost Buildup'!$H49)^(AX$3-1)</f>
        <v>815.51602676998959</v>
      </c>
      <c r="AY49" s="135">
        <f>($G49*Assumptions!AY57)*(1+'Cost Buildup'!$H49)^(AY$3-1)</f>
        <v>815.51602676998959</v>
      </c>
      <c r="AZ49" s="135">
        <f>($G49*Assumptions!AZ57)*(1+'Cost Buildup'!$H49)^(AZ$3-1)</f>
        <v>815.51602676998959</v>
      </c>
      <c r="BA49" s="135">
        <f>($G49*Assumptions!BA57)*(1+'Cost Buildup'!$H49)^(BA$3-1)</f>
        <v>815.51602676998959</v>
      </c>
      <c r="BB49" s="135">
        <f>($G49*Assumptions!BB57)*(1+'Cost Buildup'!$H49)^(BB$3-1)</f>
        <v>815.51602676998959</v>
      </c>
      <c r="BC49" s="135">
        <f>($G49*Assumptions!BC57)*(1+'Cost Buildup'!$H49)^(BC$3-1)</f>
        <v>815.51602676998959</v>
      </c>
      <c r="BD49" s="135">
        <f>($G49*Assumptions!BD57)*(1+'Cost Buildup'!$H49)^(BD$3-1)</f>
        <v>815.51602676998959</v>
      </c>
      <c r="BE49" s="135">
        <f>($G49*Assumptions!BE57)*(1+'Cost Buildup'!$H49)^(BE$3-1)</f>
        <v>815.51602676998959</v>
      </c>
      <c r="BF49" s="135">
        <f>($G49*Assumptions!BF57)*(1+'Cost Buildup'!$H49)^(BF$3-1)</f>
        <v>815.51602676998959</v>
      </c>
      <c r="BG49" s="135">
        <f>($G49*Assumptions!BG57)*(1+'Cost Buildup'!$H49)^(BG$3-1)</f>
        <v>815.51602676998959</v>
      </c>
      <c r="BH49" s="135">
        <f>($G49*Assumptions!BH57)*(1+'Cost Buildup'!$H49)^(BH$3-1)</f>
        <v>815.51602676998959</v>
      </c>
      <c r="BI49" s="135">
        <f>($G49*Assumptions!BI57)*(1+'Cost Buildup'!$H49)^(BI$3-1)</f>
        <v>856.29182810848897</v>
      </c>
      <c r="BJ49" s="135">
        <f>($G49*Assumptions!BJ57)*(1+'Cost Buildup'!$H49)^(BJ$3-1)</f>
        <v>856.29182810848897</v>
      </c>
      <c r="BK49" s="135">
        <f>($G49*Assumptions!BK57)*(1+'Cost Buildup'!$H49)^(BK$3-1)</f>
        <v>856.29182810848897</v>
      </c>
      <c r="BL49" s="135">
        <f>($G49*Assumptions!BL57)*(1+'Cost Buildup'!$H49)^(BL$3-1)</f>
        <v>856.29182810848897</v>
      </c>
      <c r="BM49" s="135">
        <f>($G49*Assumptions!BM57)*(1+'Cost Buildup'!$H49)^(BM$3-1)</f>
        <v>856.29182810848897</v>
      </c>
      <c r="BN49" s="135">
        <f>($G49*Assumptions!BN57)*(1+'Cost Buildup'!$H49)^(BN$3-1)</f>
        <v>856.29182810848897</v>
      </c>
      <c r="BO49" s="135">
        <f>($G49*Assumptions!BO57)*(1+'Cost Buildup'!$H49)^(BO$3-1)</f>
        <v>856.29182810848897</v>
      </c>
      <c r="BP49" s="135">
        <f>($G49*Assumptions!BP57)*(1+'Cost Buildup'!$H49)^(BP$3-1)</f>
        <v>856.29182810848897</v>
      </c>
      <c r="BQ49" s="135">
        <f>($G49*Assumptions!BQ57)*(1+'Cost Buildup'!$H49)^(BQ$3-1)</f>
        <v>856.29182810848897</v>
      </c>
      <c r="BR49" s="135">
        <f>($G49*Assumptions!BR57)*(1+'Cost Buildup'!$H49)^(BR$3-1)</f>
        <v>856.29182810848897</v>
      </c>
      <c r="BS49" s="135">
        <f>($G49*Assumptions!BS57)*(1+'Cost Buildup'!$H49)^(BS$3-1)</f>
        <v>856.29182810848897</v>
      </c>
      <c r="BT49" s="135">
        <f>($G49*Assumptions!BT57)*(1+'Cost Buildup'!$H49)^(BT$3-1)</f>
        <v>856.29182810848897</v>
      </c>
      <c r="BU49" s="35"/>
      <c r="BV49" s="145">
        <f t="shared" si="31"/>
        <v>4226.840436773512</v>
      </c>
      <c r="BW49" s="145">
        <f t="shared" si="31"/>
        <v>8876.3649172243749</v>
      </c>
      <c r="BX49" s="145">
        <f t="shared" si="31"/>
        <v>9320.1831630855941</v>
      </c>
      <c r="BY49" s="145">
        <f t="shared" si="31"/>
        <v>9786.1923212398742</v>
      </c>
      <c r="BZ49" s="145">
        <f t="shared" si="31"/>
        <v>10275.501937301871</v>
      </c>
    </row>
    <row r="50" spans="1:78" ht="15.6">
      <c r="A50" s="144" t="str">
        <f>Assumptions!A58</f>
        <v xml:space="preserve">Management-Co-Found </v>
      </c>
      <c r="F50" s="152" t="str">
        <f>Assumptions!F58</f>
        <v>Monthly Salary/Headcount</v>
      </c>
      <c r="G50" s="93">
        <f>Assumptions!G58</f>
        <v>2583.0691558060398</v>
      </c>
      <c r="H50" s="68">
        <f>Assumptions!H58</f>
        <v>0</v>
      </c>
      <c r="I50" s="177"/>
      <c r="M50" s="176">
        <f>($G50*Assumptions!M58)*(1+'Cost Buildup'!$H50)^(M$3-1)</f>
        <v>2583.0691558060398</v>
      </c>
      <c r="N50" s="135">
        <f>($G50*Assumptions!N58)*(1+'Cost Buildup'!$H50)^(N$3-1)</f>
        <v>2583.0691558060398</v>
      </c>
      <c r="O50" s="135">
        <f>($G50*Assumptions!O58)*(1+'Cost Buildup'!$H50)^(O$3-1)</f>
        <v>2583.0691558060398</v>
      </c>
      <c r="P50" s="135">
        <f>($G50*Assumptions!P58)*(1+'Cost Buildup'!$H50)^(P$3-1)</f>
        <v>2583.0691558060398</v>
      </c>
      <c r="Q50" s="135">
        <f>($G50*Assumptions!Q58)*(1+'Cost Buildup'!$H50)^(Q$3-1)</f>
        <v>2583.0691558060398</v>
      </c>
      <c r="R50" s="135">
        <f>($G50*Assumptions!R58)*(1+'Cost Buildup'!$H50)^(R$3-1)</f>
        <v>2583.0691558060398</v>
      </c>
      <c r="S50" s="135">
        <f>($G50*Assumptions!S58)*(1+'Cost Buildup'!$H50)^(S$3-1)</f>
        <v>2583.0691558060398</v>
      </c>
      <c r="T50" s="135">
        <f>($G50*Assumptions!T58)*(1+'Cost Buildup'!$H50)^(T$3-1)</f>
        <v>2583.0691558060398</v>
      </c>
      <c r="U50" s="135">
        <f>($G50*Assumptions!U58)*(1+'Cost Buildup'!$H50)^(U$3-1)</f>
        <v>2583.0691558060398</v>
      </c>
      <c r="V50" s="135">
        <f>($G50*Assumptions!V58)*(1+'Cost Buildup'!$H50)^(V$3-1)</f>
        <v>2583.0691558060398</v>
      </c>
      <c r="W50" s="135">
        <f>($G50*Assumptions!W58)*(1+'Cost Buildup'!$H50)^(W$3-1)</f>
        <v>2583.0691558060398</v>
      </c>
      <c r="X50" s="135">
        <f>($G50*Assumptions!X58)*(1+'Cost Buildup'!$H50)^(X$3-1)</f>
        <v>2583.0691558060398</v>
      </c>
      <c r="Y50" s="135">
        <f>($G50*Assumptions!Y58)*(1+'Cost Buildup'!$H50)^(Y$3-1)</f>
        <v>2583.0691558060398</v>
      </c>
      <c r="Z50" s="135">
        <f>($G50*Assumptions!Z58)*(1+'Cost Buildup'!$H50)^(Z$3-1)</f>
        <v>2583.0691558060398</v>
      </c>
      <c r="AA50" s="135">
        <f>($G50*Assumptions!AA58)*(1+'Cost Buildup'!$H50)^(AA$3-1)</f>
        <v>2583.0691558060398</v>
      </c>
      <c r="AB50" s="135">
        <f>($G50*Assumptions!AB58)*(1+'Cost Buildup'!$H50)^(AB$3-1)</f>
        <v>2583.0691558060398</v>
      </c>
      <c r="AC50" s="135">
        <f>($G50*Assumptions!AC58)*(1+'Cost Buildup'!$H50)^(AC$3-1)</f>
        <v>2583.0691558060398</v>
      </c>
      <c r="AD50" s="135">
        <f>($G50*Assumptions!AD58)*(1+'Cost Buildup'!$H50)^(AD$3-1)</f>
        <v>2583.0691558060398</v>
      </c>
      <c r="AE50" s="135">
        <f>($G50*Assumptions!AE58)*(1+'Cost Buildup'!$H50)^(AE$3-1)</f>
        <v>2583.0691558060398</v>
      </c>
      <c r="AF50" s="135">
        <f>($G50*Assumptions!AF58)*(1+'Cost Buildup'!$H50)^(AF$3-1)</f>
        <v>2583.0691558060398</v>
      </c>
      <c r="AG50" s="135">
        <f>($G50*Assumptions!AG58)*(1+'Cost Buildup'!$H50)^(AG$3-1)</f>
        <v>2583.0691558060398</v>
      </c>
      <c r="AH50" s="135">
        <f>($G50*Assumptions!AH58)*(1+'Cost Buildup'!$H50)^(AH$3-1)</f>
        <v>2583.0691558060398</v>
      </c>
      <c r="AI50" s="135">
        <f>($G50*Assumptions!AI58)*(1+'Cost Buildup'!$H50)^(AI$3-1)</f>
        <v>2583.0691558060398</v>
      </c>
      <c r="AJ50" s="135">
        <f>($G50*Assumptions!AJ58)*(1+'Cost Buildup'!$H50)^(AJ$3-1)</f>
        <v>2583.0691558060398</v>
      </c>
      <c r="AK50" s="135">
        <f>($G50*Assumptions!AK58)*(1+'Cost Buildup'!$H50)^(AK$3-1)</f>
        <v>2583.0691558060398</v>
      </c>
      <c r="AL50" s="135">
        <f>($G50*Assumptions!AL58)*(1+'Cost Buildup'!$H50)^(AL$3-1)</f>
        <v>2583.0691558060398</v>
      </c>
      <c r="AM50" s="135">
        <f>($G50*Assumptions!AM58)*(1+'Cost Buildup'!$H50)^(AM$3-1)</f>
        <v>2583.0691558060398</v>
      </c>
      <c r="AN50" s="135">
        <f>($G50*Assumptions!AN58)*(1+'Cost Buildup'!$H50)^(AN$3-1)</f>
        <v>2583.0691558060398</v>
      </c>
      <c r="AO50" s="135">
        <f>($G50*Assumptions!AO58)*(1+'Cost Buildup'!$H50)^(AO$3-1)</f>
        <v>2583.0691558060398</v>
      </c>
      <c r="AP50" s="135">
        <f>($G50*Assumptions!AP58)*(1+'Cost Buildup'!$H50)^(AP$3-1)</f>
        <v>2583.0691558060398</v>
      </c>
      <c r="AQ50" s="135">
        <f>($G50*Assumptions!AQ58)*(1+'Cost Buildup'!$H50)^(AQ$3-1)</f>
        <v>2583.0691558060398</v>
      </c>
      <c r="AR50" s="135">
        <f>($G50*Assumptions!AR58)*(1+'Cost Buildup'!$H50)^(AR$3-1)</f>
        <v>2583.0691558060398</v>
      </c>
      <c r="AS50" s="135">
        <f>($G50*Assumptions!AS58)*(1+'Cost Buildup'!$H50)^(AS$3-1)</f>
        <v>2583.0691558060398</v>
      </c>
      <c r="AT50" s="135">
        <f>($G50*Assumptions!AT58)*(1+'Cost Buildup'!$H50)^(AT$3-1)</f>
        <v>2583.0691558060398</v>
      </c>
      <c r="AU50" s="135">
        <f>($G50*Assumptions!AU58)*(1+'Cost Buildup'!$H50)^(AU$3-1)</f>
        <v>2583.0691558060398</v>
      </c>
      <c r="AV50" s="135">
        <f>($G50*Assumptions!AV58)*(1+'Cost Buildup'!$H50)^(AV$3-1)</f>
        <v>2583.0691558060398</v>
      </c>
      <c r="AW50" s="135">
        <f>($G50*Assumptions!AW58)*(1+'Cost Buildup'!$H50)^(AW$3-1)</f>
        <v>2583.0691558060398</v>
      </c>
      <c r="AX50" s="135">
        <f>($G50*Assumptions!AX58)*(1+'Cost Buildup'!$H50)^(AX$3-1)</f>
        <v>2583.0691558060398</v>
      </c>
      <c r="AY50" s="135">
        <f>($G50*Assumptions!AY58)*(1+'Cost Buildup'!$H50)^(AY$3-1)</f>
        <v>2583.0691558060398</v>
      </c>
      <c r="AZ50" s="135">
        <f>($G50*Assumptions!AZ58)*(1+'Cost Buildup'!$H50)^(AZ$3-1)</f>
        <v>2583.0691558060398</v>
      </c>
      <c r="BA50" s="135">
        <f>($G50*Assumptions!BA58)*(1+'Cost Buildup'!$H50)^(BA$3-1)</f>
        <v>2583.0691558060398</v>
      </c>
      <c r="BB50" s="135">
        <f>($G50*Assumptions!BB58)*(1+'Cost Buildup'!$H50)^(BB$3-1)</f>
        <v>2583.0691558060398</v>
      </c>
      <c r="BC50" s="135">
        <f>($G50*Assumptions!BC58)*(1+'Cost Buildup'!$H50)^(BC$3-1)</f>
        <v>2583.0691558060398</v>
      </c>
      <c r="BD50" s="135">
        <f>($G50*Assumptions!BD58)*(1+'Cost Buildup'!$H50)^(BD$3-1)</f>
        <v>2583.0691558060398</v>
      </c>
      <c r="BE50" s="135">
        <f>($G50*Assumptions!BE58)*(1+'Cost Buildup'!$H50)^(BE$3-1)</f>
        <v>2583.0691558060398</v>
      </c>
      <c r="BF50" s="135">
        <f>($G50*Assumptions!BF58)*(1+'Cost Buildup'!$H50)^(BF$3-1)</f>
        <v>2583.0691558060398</v>
      </c>
      <c r="BG50" s="135">
        <f>($G50*Assumptions!BG58)*(1+'Cost Buildup'!$H50)^(BG$3-1)</f>
        <v>2583.0691558060398</v>
      </c>
      <c r="BH50" s="135">
        <f>($G50*Assumptions!BH58)*(1+'Cost Buildup'!$H50)^(BH$3-1)</f>
        <v>2583.0691558060398</v>
      </c>
      <c r="BI50" s="135">
        <f>($G50*Assumptions!BI58)*(1+'Cost Buildup'!$H50)^(BI$3-1)</f>
        <v>2583.0691558060398</v>
      </c>
      <c r="BJ50" s="135">
        <f>($G50*Assumptions!BJ58)*(1+'Cost Buildup'!$H50)^(BJ$3-1)</f>
        <v>2583.0691558060398</v>
      </c>
      <c r="BK50" s="135">
        <f>($G50*Assumptions!BK58)*(1+'Cost Buildup'!$H50)^(BK$3-1)</f>
        <v>2583.0691558060398</v>
      </c>
      <c r="BL50" s="135">
        <f>($G50*Assumptions!BL58)*(1+'Cost Buildup'!$H50)^(BL$3-1)</f>
        <v>2583.0691558060398</v>
      </c>
      <c r="BM50" s="135">
        <f>($G50*Assumptions!BM58)*(1+'Cost Buildup'!$H50)^(BM$3-1)</f>
        <v>2583.0691558060398</v>
      </c>
      <c r="BN50" s="135">
        <f>($G50*Assumptions!BN58)*(1+'Cost Buildup'!$H50)^(BN$3-1)</f>
        <v>2583.0691558060398</v>
      </c>
      <c r="BO50" s="135">
        <f>($G50*Assumptions!BO58)*(1+'Cost Buildup'!$H50)^(BO$3-1)</f>
        <v>2583.0691558060398</v>
      </c>
      <c r="BP50" s="135">
        <f>($G50*Assumptions!BP58)*(1+'Cost Buildup'!$H50)^(BP$3-1)</f>
        <v>2583.0691558060398</v>
      </c>
      <c r="BQ50" s="135">
        <f>($G50*Assumptions!BQ58)*(1+'Cost Buildup'!$H50)^(BQ$3-1)</f>
        <v>2583.0691558060398</v>
      </c>
      <c r="BR50" s="135">
        <f>($G50*Assumptions!BR58)*(1+'Cost Buildup'!$H50)^(BR$3-1)</f>
        <v>2583.0691558060398</v>
      </c>
      <c r="BS50" s="135">
        <f>($G50*Assumptions!BS58)*(1+'Cost Buildup'!$H50)^(BS$3-1)</f>
        <v>2583.0691558060398</v>
      </c>
      <c r="BT50" s="135">
        <f>($G50*Assumptions!BT58)*(1+'Cost Buildup'!$H50)^(BT$3-1)</f>
        <v>2583.0691558060398</v>
      </c>
      <c r="BU50" s="35"/>
      <c r="BV50" s="145"/>
      <c r="BW50" s="145"/>
      <c r="BX50" s="145"/>
      <c r="BY50" s="145"/>
      <c r="BZ50" s="145"/>
    </row>
    <row r="51" spans="1:78" ht="15.6">
      <c r="A51" s="144" t="str">
        <f>Assumptions!A59</f>
        <v xml:space="preserve">Management-Co-Found </v>
      </c>
      <c r="F51" s="152" t="str">
        <f>Assumptions!F59</f>
        <v>Monthly Salary/Headcount</v>
      </c>
      <c r="G51" s="178">
        <f>Assumptions!G59</f>
        <v>2583.0691558060398</v>
      </c>
      <c r="H51" s="179">
        <f>Assumptions!H59</f>
        <v>0</v>
      </c>
      <c r="I51" s="177"/>
      <c r="M51" s="176">
        <f>($G51*Assumptions!M59)*(1+'Cost Buildup'!$H51)^(M$3-1)</f>
        <v>2583.0691558060398</v>
      </c>
      <c r="N51" s="135">
        <f>($G51*Assumptions!N59)*(1+'Cost Buildup'!$H51)^(N$3-1)</f>
        <v>2583.0691558060398</v>
      </c>
      <c r="O51" s="135">
        <f>($G51*Assumptions!O59)*(1+'Cost Buildup'!$H51)^(O$3-1)</f>
        <v>2583.0691558060398</v>
      </c>
      <c r="P51" s="135">
        <f>($G51*Assumptions!P59)*(1+'Cost Buildup'!$H51)^(P$3-1)</f>
        <v>2583.0691558060398</v>
      </c>
      <c r="Q51" s="135">
        <f>($G51*Assumptions!Q59)*(1+'Cost Buildup'!$H51)^(Q$3-1)</f>
        <v>2583.0691558060398</v>
      </c>
      <c r="R51" s="135">
        <f>($G51*Assumptions!R59)*(1+'Cost Buildup'!$H51)^(R$3-1)</f>
        <v>2583.0691558060398</v>
      </c>
      <c r="S51" s="135">
        <f>($G51*Assumptions!S59)*(1+'Cost Buildup'!$H51)^(S$3-1)</f>
        <v>2583.0691558060398</v>
      </c>
      <c r="T51" s="135">
        <f>($G51*Assumptions!T59)*(1+'Cost Buildup'!$H51)^(T$3-1)</f>
        <v>2583.0691558060398</v>
      </c>
      <c r="U51" s="135">
        <f>($G51*Assumptions!U59)*(1+'Cost Buildup'!$H51)^(U$3-1)</f>
        <v>2583.0691558060398</v>
      </c>
      <c r="V51" s="135">
        <f>($G51*Assumptions!V59)*(1+'Cost Buildup'!$H51)^(V$3-1)</f>
        <v>2583.0691558060398</v>
      </c>
      <c r="W51" s="135">
        <f>($G51*Assumptions!W59)*(1+'Cost Buildup'!$H51)^(W$3-1)</f>
        <v>2583.0691558060398</v>
      </c>
      <c r="X51" s="135">
        <f>($G51*Assumptions!X59)*(1+'Cost Buildup'!$H51)^(X$3-1)</f>
        <v>2583.0691558060398</v>
      </c>
      <c r="Y51" s="135">
        <f>($G51*Assumptions!Y59)*(1+'Cost Buildup'!$H51)^(Y$3-1)</f>
        <v>2583.0691558060398</v>
      </c>
      <c r="Z51" s="135">
        <f>($G51*Assumptions!Z59)*(1+'Cost Buildup'!$H51)^(Z$3-1)</f>
        <v>2583.0691558060398</v>
      </c>
      <c r="AA51" s="135">
        <f>($G51*Assumptions!AA59)*(1+'Cost Buildup'!$H51)^(AA$3-1)</f>
        <v>2583.0691558060398</v>
      </c>
      <c r="AB51" s="135">
        <f>($G51*Assumptions!AB59)*(1+'Cost Buildup'!$H51)^(AB$3-1)</f>
        <v>2583.0691558060398</v>
      </c>
      <c r="AC51" s="135">
        <f>($G51*Assumptions!AC59)*(1+'Cost Buildup'!$H51)^(AC$3-1)</f>
        <v>2583.0691558060398</v>
      </c>
      <c r="AD51" s="135">
        <f>($G51*Assumptions!AD59)*(1+'Cost Buildup'!$H51)^(AD$3-1)</f>
        <v>2583.0691558060398</v>
      </c>
      <c r="AE51" s="135">
        <f>($G51*Assumptions!AE59)*(1+'Cost Buildup'!$H51)^(AE$3-1)</f>
        <v>2583.0691558060398</v>
      </c>
      <c r="AF51" s="135">
        <f>($G51*Assumptions!AF59)*(1+'Cost Buildup'!$H51)^(AF$3-1)</f>
        <v>2583.0691558060398</v>
      </c>
      <c r="AG51" s="135">
        <f>($G51*Assumptions!AG59)*(1+'Cost Buildup'!$H51)^(AG$3-1)</f>
        <v>2583.0691558060398</v>
      </c>
      <c r="AH51" s="135">
        <f>($G51*Assumptions!AH59)*(1+'Cost Buildup'!$H51)^(AH$3-1)</f>
        <v>2583.0691558060398</v>
      </c>
      <c r="AI51" s="135">
        <f>($G51*Assumptions!AI59)*(1+'Cost Buildup'!$H51)^(AI$3-1)</f>
        <v>2583.0691558060398</v>
      </c>
      <c r="AJ51" s="135">
        <f>($G51*Assumptions!AJ59)*(1+'Cost Buildup'!$H51)^(AJ$3-1)</f>
        <v>2583.0691558060398</v>
      </c>
      <c r="AK51" s="135">
        <f>($G51*Assumptions!AK59)*(1+'Cost Buildup'!$H51)^(AK$3-1)</f>
        <v>2583.0691558060398</v>
      </c>
      <c r="AL51" s="135">
        <f>($G51*Assumptions!AL59)*(1+'Cost Buildup'!$H51)^(AL$3-1)</f>
        <v>2583.0691558060398</v>
      </c>
      <c r="AM51" s="135">
        <f>($G51*Assumptions!AM59)*(1+'Cost Buildup'!$H51)^(AM$3-1)</f>
        <v>2583.0691558060398</v>
      </c>
      <c r="AN51" s="135">
        <f>($G51*Assumptions!AN59)*(1+'Cost Buildup'!$H51)^(AN$3-1)</f>
        <v>2583.0691558060398</v>
      </c>
      <c r="AO51" s="135">
        <f>($G51*Assumptions!AO59)*(1+'Cost Buildup'!$H51)^(AO$3-1)</f>
        <v>2583.0691558060398</v>
      </c>
      <c r="AP51" s="135">
        <f>($G51*Assumptions!AP59)*(1+'Cost Buildup'!$H51)^(AP$3-1)</f>
        <v>2583.0691558060398</v>
      </c>
      <c r="AQ51" s="135">
        <f>($G51*Assumptions!AQ59)*(1+'Cost Buildup'!$H51)^(AQ$3-1)</f>
        <v>2583.0691558060398</v>
      </c>
      <c r="AR51" s="135">
        <f>($G51*Assumptions!AR59)*(1+'Cost Buildup'!$H51)^(AR$3-1)</f>
        <v>2583.0691558060398</v>
      </c>
      <c r="AS51" s="135">
        <f>($G51*Assumptions!AS59)*(1+'Cost Buildup'!$H51)^(AS$3-1)</f>
        <v>2583.0691558060398</v>
      </c>
      <c r="AT51" s="135">
        <f>($G51*Assumptions!AT59)*(1+'Cost Buildup'!$H51)^(AT$3-1)</f>
        <v>2583.0691558060398</v>
      </c>
      <c r="AU51" s="135">
        <f>($G51*Assumptions!AU59)*(1+'Cost Buildup'!$H51)^(AU$3-1)</f>
        <v>2583.0691558060398</v>
      </c>
      <c r="AV51" s="135">
        <f>($G51*Assumptions!AV59)*(1+'Cost Buildup'!$H51)^(AV$3-1)</f>
        <v>2583.0691558060398</v>
      </c>
      <c r="AW51" s="135">
        <f>($G51*Assumptions!AW59)*(1+'Cost Buildup'!$H51)^(AW$3-1)</f>
        <v>2583.0691558060398</v>
      </c>
      <c r="AX51" s="135">
        <f>($G51*Assumptions!AX59)*(1+'Cost Buildup'!$H51)^(AX$3-1)</f>
        <v>2583.0691558060398</v>
      </c>
      <c r="AY51" s="135">
        <f>($G51*Assumptions!AY59)*(1+'Cost Buildup'!$H51)^(AY$3-1)</f>
        <v>2583.0691558060398</v>
      </c>
      <c r="AZ51" s="135">
        <f>($G51*Assumptions!AZ59)*(1+'Cost Buildup'!$H51)^(AZ$3-1)</f>
        <v>2583.0691558060398</v>
      </c>
      <c r="BA51" s="135">
        <f>($G51*Assumptions!BA59)*(1+'Cost Buildup'!$H51)^(BA$3-1)</f>
        <v>2583.0691558060398</v>
      </c>
      <c r="BB51" s="135">
        <f>($G51*Assumptions!BB59)*(1+'Cost Buildup'!$H51)^(BB$3-1)</f>
        <v>2583.0691558060398</v>
      </c>
      <c r="BC51" s="135">
        <f>($G51*Assumptions!BC59)*(1+'Cost Buildup'!$H51)^(BC$3-1)</f>
        <v>2583.0691558060398</v>
      </c>
      <c r="BD51" s="135">
        <f>($G51*Assumptions!BD59)*(1+'Cost Buildup'!$H51)^(BD$3-1)</f>
        <v>2583.0691558060398</v>
      </c>
      <c r="BE51" s="135">
        <f>($G51*Assumptions!BE59)*(1+'Cost Buildup'!$H51)^(BE$3-1)</f>
        <v>2583.0691558060398</v>
      </c>
      <c r="BF51" s="135">
        <f>($G51*Assumptions!BF59)*(1+'Cost Buildup'!$H51)^(BF$3-1)</f>
        <v>2583.0691558060398</v>
      </c>
      <c r="BG51" s="135">
        <f>($G51*Assumptions!BG59)*(1+'Cost Buildup'!$H51)^(BG$3-1)</f>
        <v>2583.0691558060398</v>
      </c>
      <c r="BH51" s="135">
        <f>($G51*Assumptions!BH59)*(1+'Cost Buildup'!$H51)^(BH$3-1)</f>
        <v>2583.0691558060398</v>
      </c>
      <c r="BI51" s="135">
        <f>($G51*Assumptions!BI59)*(1+'Cost Buildup'!$H51)^(BI$3-1)</f>
        <v>2583.0691558060398</v>
      </c>
      <c r="BJ51" s="135">
        <f>($G51*Assumptions!BJ59)*(1+'Cost Buildup'!$H51)^(BJ$3-1)</f>
        <v>2583.0691558060398</v>
      </c>
      <c r="BK51" s="135">
        <f>($G51*Assumptions!BK59)*(1+'Cost Buildup'!$H51)^(BK$3-1)</f>
        <v>2583.0691558060398</v>
      </c>
      <c r="BL51" s="135">
        <f>($G51*Assumptions!BL59)*(1+'Cost Buildup'!$H51)^(BL$3-1)</f>
        <v>2583.0691558060398</v>
      </c>
      <c r="BM51" s="135">
        <f>($G51*Assumptions!BM59)*(1+'Cost Buildup'!$H51)^(BM$3-1)</f>
        <v>2583.0691558060398</v>
      </c>
      <c r="BN51" s="135">
        <f>($G51*Assumptions!BN59)*(1+'Cost Buildup'!$H51)^(BN$3-1)</f>
        <v>2583.0691558060398</v>
      </c>
      <c r="BO51" s="135">
        <f>($G51*Assumptions!BO59)*(1+'Cost Buildup'!$H51)^(BO$3-1)</f>
        <v>2583.0691558060398</v>
      </c>
      <c r="BP51" s="135">
        <f>($G51*Assumptions!BP59)*(1+'Cost Buildup'!$H51)^(BP$3-1)</f>
        <v>2583.0691558060398</v>
      </c>
      <c r="BQ51" s="135">
        <f>($G51*Assumptions!BQ59)*(1+'Cost Buildup'!$H51)^(BQ$3-1)</f>
        <v>2583.0691558060398</v>
      </c>
      <c r="BR51" s="135">
        <f>($G51*Assumptions!BR59)*(1+'Cost Buildup'!$H51)^(BR$3-1)</f>
        <v>2583.0691558060398</v>
      </c>
      <c r="BS51" s="135">
        <f>($G51*Assumptions!BS59)*(1+'Cost Buildup'!$H51)^(BS$3-1)</f>
        <v>2583.0691558060398</v>
      </c>
      <c r="BT51" s="135">
        <f>($G51*Assumptions!BT59)*(1+'Cost Buildup'!$H51)^(BT$3-1)</f>
        <v>2583.0691558060398</v>
      </c>
      <c r="BU51" s="35"/>
      <c r="BV51" s="145"/>
      <c r="BW51" s="145"/>
      <c r="BX51" s="145"/>
      <c r="BY51" s="145"/>
      <c r="BZ51" s="145"/>
    </row>
    <row r="52" spans="1:78" ht="15.6">
      <c r="A52" s="67" t="s">
        <v>124</v>
      </c>
      <c r="F52" s="175"/>
      <c r="G52" s="12"/>
      <c r="H52" s="12"/>
      <c r="I52" s="177"/>
      <c r="M52" s="160">
        <f t="shared" ref="M52:AR52" si="32">SUM(M47:M51)</f>
        <v>5929.3178349184082</v>
      </c>
      <c r="N52" s="160">
        <f t="shared" si="32"/>
        <v>5929.3178349184082</v>
      </c>
      <c r="O52" s="160">
        <f t="shared" si="32"/>
        <v>5929.3178349184082</v>
      </c>
      <c r="P52" s="160">
        <f t="shared" si="32"/>
        <v>5929.3178349184082</v>
      </c>
      <c r="Q52" s="160">
        <f t="shared" si="32"/>
        <v>5929.3178349184082</v>
      </c>
      <c r="R52" s="160">
        <f t="shared" si="32"/>
        <v>5929.3178349184082</v>
      </c>
      <c r="S52" s="160">
        <f t="shared" si="32"/>
        <v>6633.7912410473273</v>
      </c>
      <c r="T52" s="160">
        <f t="shared" si="32"/>
        <v>6633.7912410473273</v>
      </c>
      <c r="U52" s="160">
        <f t="shared" si="32"/>
        <v>6633.7912410473273</v>
      </c>
      <c r="V52" s="160">
        <f t="shared" si="32"/>
        <v>6633.7912410473273</v>
      </c>
      <c r="W52" s="160">
        <f t="shared" si="32"/>
        <v>6633.7912410473273</v>
      </c>
      <c r="X52" s="160">
        <f t="shared" si="32"/>
        <v>6633.7912410473273</v>
      </c>
      <c r="Y52" s="160">
        <f t="shared" si="32"/>
        <v>7479.1593284020291</v>
      </c>
      <c r="Z52" s="160">
        <f t="shared" si="32"/>
        <v>7479.1593284020291</v>
      </c>
      <c r="AA52" s="160">
        <f t="shared" si="32"/>
        <v>7479.1593284020291</v>
      </c>
      <c r="AB52" s="160">
        <f t="shared" si="32"/>
        <v>7479.1593284020291</v>
      </c>
      <c r="AC52" s="160">
        <f t="shared" si="32"/>
        <v>7479.1593284020291</v>
      </c>
      <c r="AD52" s="160">
        <f t="shared" si="32"/>
        <v>7479.1593284020291</v>
      </c>
      <c r="AE52" s="160">
        <f t="shared" si="32"/>
        <v>7479.1593284020291</v>
      </c>
      <c r="AF52" s="160">
        <f t="shared" si="32"/>
        <v>7479.1593284020291</v>
      </c>
      <c r="AG52" s="160">
        <f t="shared" si="32"/>
        <v>7479.1593284020291</v>
      </c>
      <c r="AH52" s="160">
        <f t="shared" si="32"/>
        <v>7479.1593284020291</v>
      </c>
      <c r="AI52" s="160">
        <f t="shared" si="32"/>
        <v>7479.1593284020291</v>
      </c>
      <c r="AJ52" s="160">
        <f t="shared" si="32"/>
        <v>7479.1593284020291</v>
      </c>
      <c r="AK52" s="160">
        <f t="shared" si="32"/>
        <v>7565.4573206528221</v>
      </c>
      <c r="AL52" s="160">
        <f t="shared" si="32"/>
        <v>7565.4573206528221</v>
      </c>
      <c r="AM52" s="160">
        <f t="shared" si="32"/>
        <v>7565.4573206528221</v>
      </c>
      <c r="AN52" s="160">
        <f t="shared" si="32"/>
        <v>7565.4573206528221</v>
      </c>
      <c r="AO52" s="160">
        <f t="shared" si="32"/>
        <v>7565.4573206528221</v>
      </c>
      <c r="AP52" s="160">
        <f t="shared" si="32"/>
        <v>7565.4573206528221</v>
      </c>
      <c r="AQ52" s="160">
        <f t="shared" si="32"/>
        <v>7565.4573206528221</v>
      </c>
      <c r="AR52" s="160">
        <f t="shared" si="32"/>
        <v>7565.4573206528221</v>
      </c>
      <c r="AS52" s="160">
        <f t="shared" ref="AS52:BX52" si="33">SUM(AS47:AS51)</f>
        <v>7565.4573206528221</v>
      </c>
      <c r="AT52" s="160">
        <f t="shared" si="33"/>
        <v>7565.4573206528221</v>
      </c>
      <c r="AU52" s="160">
        <f t="shared" si="33"/>
        <v>7565.4573206528221</v>
      </c>
      <c r="AV52" s="160">
        <f t="shared" si="33"/>
        <v>7565.4573206528221</v>
      </c>
      <c r="AW52" s="160">
        <f t="shared" si="33"/>
        <v>7656.0702125161542</v>
      </c>
      <c r="AX52" s="160">
        <f t="shared" si="33"/>
        <v>7656.0702125161542</v>
      </c>
      <c r="AY52" s="160">
        <f t="shared" si="33"/>
        <v>7656.0702125161542</v>
      </c>
      <c r="AZ52" s="160">
        <f t="shared" si="33"/>
        <v>7656.0702125161542</v>
      </c>
      <c r="BA52" s="160">
        <f t="shared" si="33"/>
        <v>7656.0702125161542</v>
      </c>
      <c r="BB52" s="160">
        <f t="shared" si="33"/>
        <v>7656.0702125161542</v>
      </c>
      <c r="BC52" s="160">
        <f t="shared" si="33"/>
        <v>7656.0702125161542</v>
      </c>
      <c r="BD52" s="160">
        <f t="shared" si="33"/>
        <v>7656.0702125161542</v>
      </c>
      <c r="BE52" s="160">
        <f t="shared" si="33"/>
        <v>7656.0702125161542</v>
      </c>
      <c r="BF52" s="160">
        <f t="shared" si="33"/>
        <v>7656.0702125161542</v>
      </c>
      <c r="BG52" s="160">
        <f t="shared" si="33"/>
        <v>7656.0702125161542</v>
      </c>
      <c r="BH52" s="160">
        <f t="shared" si="33"/>
        <v>7656.0702125161542</v>
      </c>
      <c r="BI52" s="160">
        <f t="shared" si="33"/>
        <v>7751.2137489726529</v>
      </c>
      <c r="BJ52" s="160">
        <f t="shared" si="33"/>
        <v>7751.2137489726529</v>
      </c>
      <c r="BK52" s="160">
        <f t="shared" si="33"/>
        <v>7751.2137489726529</v>
      </c>
      <c r="BL52" s="160">
        <f t="shared" si="33"/>
        <v>7751.2137489726529</v>
      </c>
      <c r="BM52" s="160">
        <f t="shared" si="33"/>
        <v>7751.2137489726529</v>
      </c>
      <c r="BN52" s="160">
        <f t="shared" si="33"/>
        <v>7751.2137489726529</v>
      </c>
      <c r="BO52" s="160">
        <f t="shared" si="33"/>
        <v>7751.2137489726529</v>
      </c>
      <c r="BP52" s="160">
        <f t="shared" si="33"/>
        <v>7751.2137489726529</v>
      </c>
      <c r="BQ52" s="160">
        <f t="shared" si="33"/>
        <v>7751.2137489726529</v>
      </c>
      <c r="BR52" s="160">
        <f t="shared" si="33"/>
        <v>7751.2137489726529</v>
      </c>
      <c r="BS52" s="160">
        <f t="shared" si="33"/>
        <v>7751.2137489726529</v>
      </c>
      <c r="BT52" s="160">
        <f t="shared" si="33"/>
        <v>7751.2137489726529</v>
      </c>
      <c r="BU52" s="35"/>
      <c r="BV52" s="160">
        <f t="shared" ref="BV52:BZ53" si="34">SUMIF($M$3:$BT$3,BV$3,$M52:$BT52)</f>
        <v>75378.654455794414</v>
      </c>
      <c r="BW52" s="160">
        <f t="shared" si="34"/>
        <v>89749.911940824357</v>
      </c>
      <c r="BX52" s="160">
        <f t="shared" si="34"/>
        <v>90785.487847833836</v>
      </c>
      <c r="BY52" s="160">
        <f t="shared" si="34"/>
        <v>91872.842550193833</v>
      </c>
      <c r="BZ52" s="160">
        <f t="shared" si="34"/>
        <v>93014.564987671853</v>
      </c>
    </row>
    <row r="53" spans="1:78" ht="15.6">
      <c r="A53" s="67" t="s">
        <v>125</v>
      </c>
      <c r="F53" s="175"/>
      <c r="G53" s="12"/>
      <c r="H53" s="12"/>
      <c r="I53" s="177"/>
      <c r="M53" s="143">
        <f t="shared" ref="M53:AR53" si="35">M43+M44+M52+M45</f>
        <v>10344.017846659637</v>
      </c>
      <c r="N53" s="143">
        <f t="shared" si="35"/>
        <v>10354.517921307071</v>
      </c>
      <c r="O53" s="143">
        <f t="shared" si="35"/>
        <v>10365.017995954506</v>
      </c>
      <c r="P53" s="143">
        <f t="shared" si="35"/>
        <v>10375.518070601942</v>
      </c>
      <c r="Q53" s="143">
        <f t="shared" si="35"/>
        <v>10386.018145249376</v>
      </c>
      <c r="R53" s="143">
        <f t="shared" si="35"/>
        <v>10541.451391371607</v>
      </c>
      <c r="S53" s="143">
        <f t="shared" si="35"/>
        <v>11402.973439722366</v>
      </c>
      <c r="T53" s="143">
        <f t="shared" si="35"/>
        <v>11415.088910469403</v>
      </c>
      <c r="U53" s="143">
        <f t="shared" si="35"/>
        <v>11427.204381216445</v>
      </c>
      <c r="V53" s="143">
        <f t="shared" si="35"/>
        <v>11439.319851963486</v>
      </c>
      <c r="W53" s="143">
        <f t="shared" si="35"/>
        <v>11451.435322710528</v>
      </c>
      <c r="X53" s="143">
        <f t="shared" si="35"/>
        <v>11463.550793457565</v>
      </c>
      <c r="Y53" s="143">
        <f t="shared" si="35"/>
        <v>12622.208467206139</v>
      </c>
      <c r="Z53" s="143">
        <f t="shared" si="35"/>
        <v>12635.939334052786</v>
      </c>
      <c r="AA53" s="143">
        <f t="shared" si="35"/>
        <v>12649.670200899433</v>
      </c>
      <c r="AB53" s="143">
        <f t="shared" si="35"/>
        <v>12663.401067746079</v>
      </c>
      <c r="AC53" s="143">
        <f t="shared" si="35"/>
        <v>12677.131934592722</v>
      </c>
      <c r="AD53" s="143">
        <f t="shared" si="35"/>
        <v>12690.862801439369</v>
      </c>
      <c r="AE53" s="143">
        <f t="shared" si="35"/>
        <v>12704.593668286016</v>
      </c>
      <c r="AF53" s="143">
        <f t="shared" si="35"/>
        <v>12718.324535132659</v>
      </c>
      <c r="AG53" s="143">
        <f t="shared" si="35"/>
        <v>12889.104044201144</v>
      </c>
      <c r="AH53" s="143">
        <f t="shared" si="35"/>
        <v>12903.642609097591</v>
      </c>
      <c r="AI53" s="143">
        <f t="shared" si="35"/>
        <v>12918.181173994039</v>
      </c>
      <c r="AJ53" s="143">
        <f t="shared" si="35"/>
        <v>12932.719738890486</v>
      </c>
      <c r="AK53" s="143">
        <f t="shared" si="35"/>
        <v>13033.556296037728</v>
      </c>
      <c r="AL53" s="143">
        <f t="shared" si="35"/>
        <v>13048.094860934176</v>
      </c>
      <c r="AM53" s="143">
        <f t="shared" si="35"/>
        <v>13062.633425830627</v>
      </c>
      <c r="AN53" s="143">
        <f t="shared" si="35"/>
        <v>13077.171990727074</v>
      </c>
      <c r="AO53" s="143">
        <f t="shared" si="35"/>
        <v>13091.710555623522</v>
      </c>
      <c r="AP53" s="143">
        <f t="shared" si="35"/>
        <v>13106.249120519969</v>
      </c>
      <c r="AQ53" s="143">
        <f t="shared" si="35"/>
        <v>13120.787685416417</v>
      </c>
      <c r="AR53" s="143">
        <f t="shared" si="35"/>
        <v>13135.326250312868</v>
      </c>
      <c r="AS53" s="143">
        <f t="shared" ref="AS53:BX53" si="36">AS43+AS44+AS52+AS45</f>
        <v>13149.864815209316</v>
      </c>
      <c r="AT53" s="143">
        <f t="shared" si="36"/>
        <v>13164.403380105763</v>
      </c>
      <c r="AU53" s="143">
        <f t="shared" si="36"/>
        <v>13178.941945002211</v>
      </c>
      <c r="AV53" s="143">
        <f t="shared" si="36"/>
        <v>13362.644622867538</v>
      </c>
      <c r="AW53" s="143">
        <f t="shared" si="36"/>
        <v>13468.603777677119</v>
      </c>
      <c r="AX53" s="143">
        <f t="shared" si="36"/>
        <v>13483.950040623371</v>
      </c>
      <c r="AY53" s="143">
        <f t="shared" si="36"/>
        <v>13499.296303569623</v>
      </c>
      <c r="AZ53" s="143">
        <f t="shared" si="36"/>
        <v>13514.642566515875</v>
      </c>
      <c r="BA53" s="143">
        <f t="shared" si="36"/>
        <v>13529.988829462123</v>
      </c>
      <c r="BB53" s="143">
        <f t="shared" si="36"/>
        <v>13545.335092408375</v>
      </c>
      <c r="BC53" s="143">
        <f t="shared" si="36"/>
        <v>13560.681355354627</v>
      </c>
      <c r="BD53" s="143">
        <f t="shared" si="36"/>
        <v>13751.653315668176</v>
      </c>
      <c r="BE53" s="143">
        <f t="shared" si="36"/>
        <v>13767.807276664229</v>
      </c>
      <c r="BF53" s="143">
        <f t="shared" si="36"/>
        <v>13783.961237660282</v>
      </c>
      <c r="BG53" s="143">
        <f t="shared" si="36"/>
        <v>13800.115198656338</v>
      </c>
      <c r="BH53" s="143">
        <f t="shared" si="36"/>
        <v>13816.269159652391</v>
      </c>
      <c r="BI53" s="143">
        <f t="shared" si="36"/>
        <v>13927.566657104944</v>
      </c>
      <c r="BJ53" s="143">
        <f t="shared" si="36"/>
        <v>13943.720618100997</v>
      </c>
      <c r="BK53" s="143">
        <f t="shared" si="36"/>
        <v>13959.87457909705</v>
      </c>
      <c r="BL53" s="143">
        <f t="shared" si="36"/>
        <v>13976.028540093102</v>
      </c>
      <c r="BM53" s="143">
        <f t="shared" si="36"/>
        <v>13992.182501089159</v>
      </c>
      <c r="BN53" s="143">
        <f t="shared" si="36"/>
        <v>14008.336462085212</v>
      </c>
      <c r="BO53" s="143">
        <f t="shared" si="36"/>
        <v>14024.490423081264</v>
      </c>
      <c r="BP53" s="143">
        <f t="shared" si="36"/>
        <v>14225.96245804225</v>
      </c>
      <c r="BQ53" s="143">
        <f t="shared" si="36"/>
        <v>14242.924117088107</v>
      </c>
      <c r="BR53" s="143">
        <f t="shared" si="36"/>
        <v>15568.420066585717</v>
      </c>
      <c r="BS53" s="143">
        <f t="shared" si="36"/>
        <v>15591.035611980195</v>
      </c>
      <c r="BT53" s="143">
        <f t="shared" si="36"/>
        <v>15613.651157374668</v>
      </c>
      <c r="BU53" s="35"/>
      <c r="BV53" s="143">
        <f t="shared" si="34"/>
        <v>130966.11407068395</v>
      </c>
      <c r="BW53" s="143">
        <f t="shared" si="34"/>
        <v>153005.77957553844</v>
      </c>
      <c r="BX53" s="143">
        <f t="shared" si="34"/>
        <v>157531.38494858722</v>
      </c>
      <c r="BY53" s="143">
        <f t="shared" si="34"/>
        <v>163522.3041539125</v>
      </c>
      <c r="BZ53" s="143">
        <f t="shared" si="34"/>
        <v>173074.19319172265</v>
      </c>
    </row>
    <row r="54" spans="1:78" ht="15.6">
      <c r="A54" s="167" t="str">
        <f>Assumptions!A60</f>
        <v>Product Development Expense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35"/>
      <c r="BV54" s="73"/>
      <c r="BW54" s="73"/>
      <c r="BX54" s="73"/>
      <c r="BY54" s="73"/>
      <c r="BZ54" s="73"/>
    </row>
    <row r="55" spans="1:78">
      <c r="A55" s="144" t="str">
        <f>Assumptions!A61</f>
        <v xml:space="preserve">Infrastructure </v>
      </c>
      <c r="M55" s="135">
        <f>Assumptions!M61</f>
        <v>1585.0651637900701</v>
      </c>
      <c r="N55" s="135">
        <f>Assumptions!N61</f>
        <v>1616.7664670658714</v>
      </c>
      <c r="O55" s="135">
        <f>Assumptions!O61</f>
        <v>1649.1017964071889</v>
      </c>
      <c r="P55" s="135">
        <f>Assumptions!P61</f>
        <v>1682.0838323353328</v>
      </c>
      <c r="Q55" s="135">
        <f>Assumptions!Q61</f>
        <v>1715.7255089820394</v>
      </c>
      <c r="R55" s="135">
        <f>Assumptions!R61</f>
        <v>1750.0400191616802</v>
      </c>
      <c r="S55" s="135">
        <f>Assumptions!S61</f>
        <v>1785.0408195449138</v>
      </c>
      <c r="T55" s="135">
        <f>Assumptions!T61</f>
        <v>1820.7416359358122</v>
      </c>
      <c r="U55" s="135">
        <f>Assumptions!U61</f>
        <v>1857.1564686545285</v>
      </c>
      <c r="V55" s="135">
        <f>Assumptions!V61</f>
        <v>1894.2995980276191</v>
      </c>
      <c r="W55" s="135">
        <f>Assumptions!W61</f>
        <v>1932.1855899881716</v>
      </c>
      <c r="X55" s="135">
        <f>Assumptions!X61</f>
        <v>1970.829301787935</v>
      </c>
      <c r="Y55" s="135">
        <f>Assumptions!Y61</f>
        <v>2010.2458878236937</v>
      </c>
      <c r="Z55" s="135">
        <f>Assumptions!Z61</f>
        <v>2050.4508055801675</v>
      </c>
      <c r="AA55" s="135">
        <f>Assumptions!AA61</f>
        <v>2091.4598216917711</v>
      </c>
      <c r="AB55" s="135">
        <f>Assumptions!AB61</f>
        <v>2133.2890181256066</v>
      </c>
      <c r="AC55" s="135">
        <f>Assumptions!AC61</f>
        <v>2175.9547984881187</v>
      </c>
      <c r="AD55" s="135">
        <f>Assumptions!AD61</f>
        <v>2219.4738944578812</v>
      </c>
      <c r="AE55" s="135">
        <f>Assumptions!AE61</f>
        <v>2263.8633723470389</v>
      </c>
      <c r="AF55" s="135">
        <f>Assumptions!AF61</f>
        <v>2309.1406397939795</v>
      </c>
      <c r="AG55" s="135">
        <f>Assumptions!AG61</f>
        <v>2355.3234525898592</v>
      </c>
      <c r="AH55" s="135">
        <f>Assumptions!AH61</f>
        <v>2402.4299216416566</v>
      </c>
      <c r="AI55" s="135">
        <f>Assumptions!AI61</f>
        <v>2450.47852007449</v>
      </c>
      <c r="AJ55" s="135">
        <f>Assumptions!AJ61</f>
        <v>2499.4880904759798</v>
      </c>
      <c r="AK55" s="135">
        <f>Assumptions!AK61</f>
        <v>2549.4778522854995</v>
      </c>
      <c r="AL55" s="135">
        <f>Assumptions!AL61</f>
        <v>2600.4674093312096</v>
      </c>
      <c r="AM55" s="135">
        <f>Assumptions!AM61</f>
        <v>2652.4767575178339</v>
      </c>
      <c r="AN55" s="135">
        <f>Assumptions!AN61</f>
        <v>2705.5262926681908</v>
      </c>
      <c r="AO55" s="135">
        <f>Assumptions!AO61</f>
        <v>2759.6368185215547</v>
      </c>
      <c r="AP55" s="135">
        <f>Assumptions!AP61</f>
        <v>2814.8295548919859</v>
      </c>
      <c r="AQ55" s="135">
        <f>Assumptions!AQ61</f>
        <v>2871.1261459898255</v>
      </c>
      <c r="AR55" s="135">
        <f>Assumptions!AR61</f>
        <v>2928.5486689096219</v>
      </c>
      <c r="AS55" s="135">
        <f>Assumptions!AS61</f>
        <v>2987.1196422878143</v>
      </c>
      <c r="AT55" s="135">
        <f>Assumptions!AT61</f>
        <v>3046.8620351335708</v>
      </c>
      <c r="AU55" s="135">
        <f>Assumptions!AU61</f>
        <v>3107.799275836242</v>
      </c>
      <c r="AV55" s="135">
        <f>Assumptions!AV61</f>
        <v>3169.9552613529668</v>
      </c>
      <c r="AW55" s="135">
        <f>Assumptions!AW61</f>
        <v>3233.3543665800262</v>
      </c>
      <c r="AX55" s="135">
        <f>Assumptions!AX61</f>
        <v>3298.0214539116268</v>
      </c>
      <c r="AY55" s="135">
        <f>Assumptions!AY61</f>
        <v>3363.9818829898595</v>
      </c>
      <c r="AZ55" s="135">
        <f>Assumptions!AZ61</f>
        <v>3431.2615206496566</v>
      </c>
      <c r="BA55" s="135">
        <f>Assumptions!BA61</f>
        <v>3499.8867510626496</v>
      </c>
      <c r="BB55" s="135">
        <f>Assumptions!BB61</f>
        <v>3569.8844860839026</v>
      </c>
      <c r="BC55" s="135">
        <f>Assumptions!BC61</f>
        <v>3641.2821758055807</v>
      </c>
      <c r="BD55" s="135">
        <f>Assumptions!BD61</f>
        <v>3714.1078193216922</v>
      </c>
      <c r="BE55" s="135">
        <f>Assumptions!BE61</f>
        <v>3788.3899757081263</v>
      </c>
      <c r="BF55" s="135">
        <f>Assumptions!BF61</f>
        <v>3864.1577752222888</v>
      </c>
      <c r="BG55" s="135">
        <f>Assumptions!BG61</f>
        <v>3941.4409307267347</v>
      </c>
      <c r="BH55" s="135">
        <f>Assumptions!BH61</f>
        <v>4020.2697493412693</v>
      </c>
      <c r="BI55" s="135">
        <f>Assumptions!BI61</f>
        <v>4100.6751443280946</v>
      </c>
      <c r="BJ55" s="135">
        <f>Assumptions!BJ61</f>
        <v>4182.6886472146562</v>
      </c>
      <c r="BK55" s="135">
        <f>Assumptions!BK61</f>
        <v>4266.3424201589496</v>
      </c>
      <c r="BL55" s="135">
        <f>Assumptions!BL61</f>
        <v>4351.6692685621283</v>
      </c>
      <c r="BM55" s="135">
        <f>Assumptions!BM61</f>
        <v>4438.702653933371</v>
      </c>
      <c r="BN55" s="135">
        <f>Assumptions!BN61</f>
        <v>4527.4767070120388</v>
      </c>
      <c r="BO55" s="135">
        <f>Assumptions!BO61</f>
        <v>4618.0262411522799</v>
      </c>
      <c r="BP55" s="135">
        <f>Assumptions!BP61</f>
        <v>4710.3867659753259</v>
      </c>
      <c r="BQ55" s="135">
        <f>Assumptions!BQ61</f>
        <v>4804.5945012948323</v>
      </c>
      <c r="BR55" s="135">
        <f>Assumptions!BR61</f>
        <v>4900.6863913207289</v>
      </c>
      <c r="BS55" s="135">
        <f>Assumptions!BS61</f>
        <v>4998.7001191471436</v>
      </c>
      <c r="BT55" s="135">
        <f>Assumptions!BT61</f>
        <v>5098.6741215300863</v>
      </c>
      <c r="BU55" s="35"/>
      <c r="BV55" s="145">
        <f>SUMIF($M$3:$BT$3,BV$3,$M55:$BT55)</f>
        <v>21259.036201681163</v>
      </c>
      <c r="BW55" s="145">
        <f>SUMIF($M$3:$BT$3,BW$3,$M55:$BT55)</f>
        <v>26961.598223090241</v>
      </c>
      <c r="BX55" s="145">
        <f>SUMIF($M$3:$BT$3,BX$3,$M55:$BT55)</f>
        <v>34193.825714726314</v>
      </c>
      <c r="BY55" s="145">
        <f>SUMIF($M$3:$BT$3,BY$3,$M55:$BT55)</f>
        <v>43366.038887403411</v>
      </c>
      <c r="BZ55" s="145">
        <f>SUMIF($M$3:$BT$3,BZ$3,$M55:$BT55)</f>
        <v>54998.622981629625</v>
      </c>
    </row>
    <row r="56" spans="1:78" ht="15.6">
      <c r="A56" s="142" t="str">
        <f>Assumptions!A62</f>
        <v>Product Development Team Roles &amp; Headcount</v>
      </c>
      <c r="BU56" s="35"/>
    </row>
    <row r="57" spans="1:78">
      <c r="A57" s="144" t="str">
        <f>Assumptions!A63</f>
        <v>Project Manager</v>
      </c>
      <c r="F57" s="144" t="str">
        <f>Assumptions!F63</f>
        <v>Monthly Salary</v>
      </c>
      <c r="G57" s="135">
        <f>Assumptions!G63</f>
        <v>2000</v>
      </c>
      <c r="H57" s="180">
        <f>Assumptions!H63</f>
        <v>0.1</v>
      </c>
      <c r="I57" s="144" t="str">
        <f>Assumptions!I63</f>
        <v>Annual Increment</v>
      </c>
      <c r="M57" s="135">
        <f>($G57*Assumptions!M63)*(1+'Cost Buildup'!$H57)^(M$3-1)</f>
        <v>2000</v>
      </c>
      <c r="N57" s="135">
        <f>($G57*Assumptions!N63)*(1+'Cost Buildup'!$H57)^(N$3-1)</f>
        <v>2000</v>
      </c>
      <c r="O57" s="135">
        <f>($G57*Assumptions!O63)*(1+'Cost Buildup'!$H57)^(O$3-1)</f>
        <v>2000</v>
      </c>
      <c r="P57" s="135">
        <f>($G57*Assumptions!P63)*(1+'Cost Buildup'!$H57)^(P$3-1)</f>
        <v>2000</v>
      </c>
      <c r="Q57" s="135">
        <f>($G57*Assumptions!Q63)*(1+'Cost Buildup'!$H57)^(Q$3-1)</f>
        <v>2000</v>
      </c>
      <c r="R57" s="135">
        <f>($G57*Assumptions!R63)*(1+'Cost Buildup'!$H57)^(R$3-1)</f>
        <v>2000</v>
      </c>
      <c r="S57" s="135">
        <f>($G57*Assumptions!S63)*(1+'Cost Buildup'!$H57)^(S$3-1)</f>
        <v>2000</v>
      </c>
      <c r="T57" s="135">
        <f>($G57*Assumptions!T63)*(1+'Cost Buildup'!$H57)^(T$3-1)</f>
        <v>2000</v>
      </c>
      <c r="U57" s="135">
        <f>($G57*Assumptions!U63)*(1+'Cost Buildup'!$H57)^(U$3-1)</f>
        <v>2000</v>
      </c>
      <c r="V57" s="135">
        <f>($G57*Assumptions!V63)*(1+'Cost Buildup'!$H57)^(V$3-1)</f>
        <v>2000</v>
      </c>
      <c r="W57" s="135">
        <f>($G57*Assumptions!W63)*(1+'Cost Buildup'!$H57)^(W$3-1)</f>
        <v>2000</v>
      </c>
      <c r="X57" s="135">
        <f>($G57*Assumptions!X63)*(1+'Cost Buildup'!$H57)^(X$3-1)</f>
        <v>2000</v>
      </c>
      <c r="Y57" s="135">
        <f>($G57*Assumptions!Y63)*(1+'Cost Buildup'!$H57)^(Y$3-1)</f>
        <v>2200</v>
      </c>
      <c r="Z57" s="135">
        <f>($G57*Assumptions!Z63)*(1+'Cost Buildup'!$H57)^(Z$3-1)</f>
        <v>2200</v>
      </c>
      <c r="AA57" s="135">
        <f>($G57*Assumptions!AA63)*(1+'Cost Buildup'!$H57)^(AA$3-1)</f>
        <v>2200</v>
      </c>
      <c r="AB57" s="135">
        <f>($G57*Assumptions!AB63)*(1+'Cost Buildup'!$H57)^(AB$3-1)</f>
        <v>2200</v>
      </c>
      <c r="AC57" s="135">
        <f>($G57*Assumptions!AC63)*(1+'Cost Buildup'!$H57)^(AC$3-1)</f>
        <v>2200</v>
      </c>
      <c r="AD57" s="135">
        <f>($G57*Assumptions!AD63)*(1+'Cost Buildup'!$H57)^(AD$3-1)</f>
        <v>2200</v>
      </c>
      <c r="AE57" s="135">
        <f>($G57*Assumptions!AE63)*(1+'Cost Buildup'!$H57)^(AE$3-1)</f>
        <v>2200</v>
      </c>
      <c r="AF57" s="135">
        <f>($G57*Assumptions!AF63)*(1+'Cost Buildup'!$H57)^(AF$3-1)</f>
        <v>2200</v>
      </c>
      <c r="AG57" s="135">
        <f>($G57*Assumptions!AG63)*(1+'Cost Buildup'!$H57)^(AG$3-1)</f>
        <v>2200</v>
      </c>
      <c r="AH57" s="135">
        <f>($G57*Assumptions!AH63)*(1+'Cost Buildup'!$H57)^(AH$3-1)</f>
        <v>2200</v>
      </c>
      <c r="AI57" s="135">
        <f>($G57*Assumptions!AI63)*(1+'Cost Buildup'!$H57)^(AI$3-1)</f>
        <v>2200</v>
      </c>
      <c r="AJ57" s="135">
        <f>($G57*Assumptions!AJ63)*(1+'Cost Buildup'!$H57)^(AJ$3-1)</f>
        <v>2200</v>
      </c>
      <c r="AK57" s="135">
        <f>($G57*Assumptions!AK63)*(1+'Cost Buildup'!$H57)^(AK$3-1)</f>
        <v>2420.0000000000005</v>
      </c>
      <c r="AL57" s="135">
        <f>($G57*Assumptions!AL63)*(1+'Cost Buildup'!$H57)^(AL$3-1)</f>
        <v>2420.0000000000005</v>
      </c>
      <c r="AM57" s="135">
        <f>($G57*Assumptions!AM63)*(1+'Cost Buildup'!$H57)^(AM$3-1)</f>
        <v>2420.0000000000005</v>
      </c>
      <c r="AN57" s="135">
        <f>($G57*Assumptions!AN63)*(1+'Cost Buildup'!$H57)^(AN$3-1)</f>
        <v>2420.0000000000005</v>
      </c>
      <c r="AO57" s="135">
        <f>($G57*Assumptions!AO63)*(1+'Cost Buildup'!$H57)^(AO$3-1)</f>
        <v>2420.0000000000005</v>
      </c>
      <c r="AP57" s="135">
        <f>($G57*Assumptions!AP63)*(1+'Cost Buildup'!$H57)^(AP$3-1)</f>
        <v>2420.0000000000005</v>
      </c>
      <c r="AQ57" s="135">
        <f>($G57*Assumptions!AQ63)*(1+'Cost Buildup'!$H57)^(AQ$3-1)</f>
        <v>2420.0000000000005</v>
      </c>
      <c r="AR57" s="135">
        <f>($G57*Assumptions!AR63)*(1+'Cost Buildup'!$H57)^(AR$3-1)</f>
        <v>2420.0000000000005</v>
      </c>
      <c r="AS57" s="135">
        <f>($G57*Assumptions!AS63)*(1+'Cost Buildup'!$H57)^(AS$3-1)</f>
        <v>2420.0000000000005</v>
      </c>
      <c r="AT57" s="135">
        <f>($G57*Assumptions!AT63)*(1+'Cost Buildup'!$H57)^(AT$3-1)</f>
        <v>2420.0000000000005</v>
      </c>
      <c r="AU57" s="135">
        <f>($G57*Assumptions!AU63)*(1+'Cost Buildup'!$H57)^(AU$3-1)</f>
        <v>2420.0000000000005</v>
      </c>
      <c r="AV57" s="135">
        <f>($G57*Assumptions!AV63)*(1+'Cost Buildup'!$H57)^(AV$3-1)</f>
        <v>4840.0000000000009</v>
      </c>
      <c r="AW57" s="135">
        <f>($G57*Assumptions!AW63)*(1+'Cost Buildup'!$H57)^(AW$3-1)</f>
        <v>5324.0000000000018</v>
      </c>
      <c r="AX57" s="135">
        <f>($G57*Assumptions!AX63)*(1+'Cost Buildup'!$H57)^(AX$3-1)</f>
        <v>5324.0000000000018</v>
      </c>
      <c r="AY57" s="135">
        <f>($G57*Assumptions!AY63)*(1+'Cost Buildup'!$H57)^(AY$3-1)</f>
        <v>5324.0000000000018</v>
      </c>
      <c r="AZ57" s="135">
        <f>($G57*Assumptions!AZ63)*(1+'Cost Buildup'!$H57)^(AZ$3-1)</f>
        <v>5324.0000000000018</v>
      </c>
      <c r="BA57" s="135">
        <f>($G57*Assumptions!BA63)*(1+'Cost Buildup'!$H57)^(BA$3-1)</f>
        <v>5324.0000000000018</v>
      </c>
      <c r="BB57" s="135">
        <f>($G57*Assumptions!BB63)*(1+'Cost Buildup'!$H57)^(BB$3-1)</f>
        <v>5324.0000000000018</v>
      </c>
      <c r="BC57" s="135">
        <f>($G57*Assumptions!BC63)*(1+'Cost Buildup'!$H57)^(BC$3-1)</f>
        <v>5324.0000000000018</v>
      </c>
      <c r="BD57" s="135">
        <f>($G57*Assumptions!BD63)*(1+'Cost Buildup'!$H57)^(BD$3-1)</f>
        <v>5324.0000000000018</v>
      </c>
      <c r="BE57" s="135">
        <f>($G57*Assumptions!BE63)*(1+'Cost Buildup'!$H57)^(BE$3-1)</f>
        <v>5324.0000000000018</v>
      </c>
      <c r="BF57" s="135">
        <f>($G57*Assumptions!BF63)*(1+'Cost Buildup'!$H57)^(BF$3-1)</f>
        <v>5324.0000000000018</v>
      </c>
      <c r="BG57" s="135">
        <f>($G57*Assumptions!BG63)*(1+'Cost Buildup'!$H57)^(BG$3-1)</f>
        <v>5324.0000000000018</v>
      </c>
      <c r="BH57" s="135">
        <f>($G57*Assumptions!BH63)*(1+'Cost Buildup'!$H57)^(BH$3-1)</f>
        <v>5324.0000000000018</v>
      </c>
      <c r="BI57" s="135">
        <f>($G57*Assumptions!BI63)*(1+'Cost Buildup'!$H57)^(BI$3-1)</f>
        <v>5856.4000000000015</v>
      </c>
      <c r="BJ57" s="135">
        <f>($G57*Assumptions!BJ63)*(1+'Cost Buildup'!$H57)^(BJ$3-1)</f>
        <v>5856.4000000000015</v>
      </c>
      <c r="BK57" s="135">
        <f>($G57*Assumptions!BK63)*(1+'Cost Buildup'!$H57)^(BK$3-1)</f>
        <v>5856.4000000000015</v>
      </c>
      <c r="BL57" s="135">
        <f>($G57*Assumptions!BL63)*(1+'Cost Buildup'!$H57)^(BL$3-1)</f>
        <v>5856.4000000000015</v>
      </c>
      <c r="BM57" s="135">
        <f>($G57*Assumptions!BM63)*(1+'Cost Buildup'!$H57)^(BM$3-1)</f>
        <v>5856.4000000000015</v>
      </c>
      <c r="BN57" s="135">
        <f>($G57*Assumptions!BN63)*(1+'Cost Buildup'!$H57)^(BN$3-1)</f>
        <v>5856.4000000000015</v>
      </c>
      <c r="BO57" s="135">
        <f>($G57*Assumptions!BO63)*(1+'Cost Buildup'!$H57)^(BO$3-1)</f>
        <v>5856.4000000000015</v>
      </c>
      <c r="BP57" s="135">
        <f>($G57*Assumptions!BP63)*(1+'Cost Buildup'!$H57)^(BP$3-1)</f>
        <v>5856.4000000000015</v>
      </c>
      <c r="BQ57" s="135">
        <f>($G57*Assumptions!BQ63)*(1+'Cost Buildup'!$H57)^(BQ$3-1)</f>
        <v>5856.4000000000015</v>
      </c>
      <c r="BR57" s="135">
        <f>($G57*Assumptions!BR63)*(1+'Cost Buildup'!$H57)^(BR$3-1)</f>
        <v>5856.4000000000015</v>
      </c>
      <c r="BS57" s="135">
        <f>($G57*Assumptions!BS63)*(1+'Cost Buildup'!$H57)^(BS$3-1)</f>
        <v>5856.4000000000015</v>
      </c>
      <c r="BT57" s="135">
        <f>($G57*Assumptions!BT63)*(1+'Cost Buildup'!$H57)^(BT$3-1)</f>
        <v>5856.4000000000015</v>
      </c>
      <c r="BU57" s="35"/>
      <c r="BV57" s="145">
        <f>SUMIF($M$3:$BT$3,BV$3,$M57:$BT57)</f>
        <v>24000</v>
      </c>
      <c r="BW57" s="145">
        <f>SUMIF($M$3:$BT$3,BW$3,$M57:$BT57)</f>
        <v>26400</v>
      </c>
      <c r="BX57" s="145">
        <f>SUMIF($M$3:$BT$3,BX$3,$M57:$BT57)</f>
        <v>31460.000000000004</v>
      </c>
      <c r="BY57" s="145">
        <f>SUMIF($M$3:$BT$3,BY$3,$M57:$BT57)</f>
        <v>63888.000000000007</v>
      </c>
      <c r="BZ57" s="145">
        <f>SUMIF($M$3:$BT$3,BZ$3,$M57:$BT57)</f>
        <v>70276.800000000017</v>
      </c>
    </row>
    <row r="58" spans="1:78">
      <c r="A58" s="144" t="str">
        <f>Assumptions!A64</f>
        <v>UI,UX Designer</v>
      </c>
      <c r="F58" s="144" t="str">
        <f>Assumptions!F64</f>
        <v>Monthly Salary</v>
      </c>
      <c r="G58" s="135">
        <f>Assumptions!G64</f>
        <v>1408.9468122578401</v>
      </c>
      <c r="H58" s="180">
        <f>Assumptions!H64</f>
        <v>0.1</v>
      </c>
      <c r="I58" s="144" t="str">
        <f>Assumptions!I64</f>
        <v>Annual Increment</v>
      </c>
      <c r="M58" s="135">
        <f>($G58*Assumptions!M64)*(1+'Cost Buildup'!$H58)^(M$3-1)</f>
        <v>1408.9468122578401</v>
      </c>
      <c r="N58" s="135">
        <f>($G58*Assumptions!N64)*(1+'Cost Buildup'!$H58)^(N$3-1)</f>
        <v>1408.9468122578401</v>
      </c>
      <c r="O58" s="135">
        <f>($G58*Assumptions!O64)*(1+'Cost Buildup'!$H58)^(O$3-1)</f>
        <v>1408.9468122578401</v>
      </c>
      <c r="P58" s="135">
        <f>($G58*Assumptions!P64)*(1+'Cost Buildup'!$H58)^(P$3-1)</f>
        <v>1408.9468122578401</v>
      </c>
      <c r="Q58" s="135">
        <f>($G58*Assumptions!Q64)*(1+'Cost Buildup'!$H58)^(Q$3-1)</f>
        <v>1408.9468122578401</v>
      </c>
      <c r="R58" s="135">
        <f>($G58*Assumptions!R64)*(1+'Cost Buildup'!$H58)^(R$3-1)</f>
        <v>1408.9468122578401</v>
      </c>
      <c r="S58" s="135">
        <f>($G58*Assumptions!S64)*(1+'Cost Buildup'!$H58)^(S$3-1)</f>
        <v>1408.9468122578401</v>
      </c>
      <c r="T58" s="135">
        <f>($G58*Assumptions!T64)*(1+'Cost Buildup'!$H58)^(T$3-1)</f>
        <v>1408.9468122578401</v>
      </c>
      <c r="U58" s="135">
        <f>($G58*Assumptions!U64)*(1+'Cost Buildup'!$H58)^(U$3-1)</f>
        <v>1408.9468122578401</v>
      </c>
      <c r="V58" s="135">
        <f>($G58*Assumptions!V64)*(1+'Cost Buildup'!$H58)^(V$3-1)</f>
        <v>1408.9468122578401</v>
      </c>
      <c r="W58" s="135">
        <f>($G58*Assumptions!W64)*(1+'Cost Buildup'!$H58)^(W$3-1)</f>
        <v>1408.9468122578401</v>
      </c>
      <c r="X58" s="135">
        <f>($G58*Assumptions!X64)*(1+'Cost Buildup'!$H58)^(X$3-1)</f>
        <v>1408.9468122578401</v>
      </c>
      <c r="Y58" s="135">
        <f>($G58*Assumptions!Y64)*(1+'Cost Buildup'!$H58)^(Y$3-1)</f>
        <v>1549.8414934836242</v>
      </c>
      <c r="Z58" s="135">
        <f>($G58*Assumptions!Z64)*(1+'Cost Buildup'!$H58)^(Z$3-1)</f>
        <v>1549.8414934836242</v>
      </c>
      <c r="AA58" s="135">
        <f>($G58*Assumptions!AA64)*(1+'Cost Buildup'!$H58)^(AA$3-1)</f>
        <v>1549.8414934836242</v>
      </c>
      <c r="AB58" s="135">
        <f>($G58*Assumptions!AB64)*(1+'Cost Buildup'!$H58)^(AB$3-1)</f>
        <v>1549.8414934836242</v>
      </c>
      <c r="AC58" s="135">
        <f>($G58*Assumptions!AC64)*(1+'Cost Buildup'!$H58)^(AC$3-1)</f>
        <v>1549.8414934836242</v>
      </c>
      <c r="AD58" s="135">
        <f>($G58*Assumptions!AD64)*(1+'Cost Buildup'!$H58)^(AD$3-1)</f>
        <v>1549.8414934836242</v>
      </c>
      <c r="AE58" s="135">
        <f>($G58*Assumptions!AE64)*(1+'Cost Buildup'!$H58)^(AE$3-1)</f>
        <v>1549.8414934836242</v>
      </c>
      <c r="AF58" s="135">
        <f>($G58*Assumptions!AF64)*(1+'Cost Buildup'!$H58)^(AF$3-1)</f>
        <v>1549.8414934836242</v>
      </c>
      <c r="AG58" s="135">
        <f>($G58*Assumptions!AG64)*(1+'Cost Buildup'!$H58)^(AG$3-1)</f>
        <v>1549.8414934836242</v>
      </c>
      <c r="AH58" s="135">
        <f>($G58*Assumptions!AH64)*(1+'Cost Buildup'!$H58)^(AH$3-1)</f>
        <v>1549.8414934836242</v>
      </c>
      <c r="AI58" s="135">
        <f>($G58*Assumptions!AI64)*(1+'Cost Buildup'!$H58)^(AI$3-1)</f>
        <v>1549.8414934836242</v>
      </c>
      <c r="AJ58" s="135">
        <f>($G58*Assumptions!AJ64)*(1+'Cost Buildup'!$H58)^(AJ$3-1)</f>
        <v>1549.8414934836242</v>
      </c>
      <c r="AK58" s="135">
        <f>($G58*Assumptions!AK64)*(1+'Cost Buildup'!$H58)^(AK$3-1)</f>
        <v>1704.8256428319867</v>
      </c>
      <c r="AL58" s="135">
        <f>($G58*Assumptions!AL64)*(1+'Cost Buildup'!$H58)^(AL$3-1)</f>
        <v>1704.8256428319867</v>
      </c>
      <c r="AM58" s="135">
        <f>($G58*Assumptions!AM64)*(1+'Cost Buildup'!$H58)^(AM$3-1)</f>
        <v>1704.8256428319867</v>
      </c>
      <c r="AN58" s="135">
        <f>($G58*Assumptions!AN64)*(1+'Cost Buildup'!$H58)^(AN$3-1)</f>
        <v>1704.8256428319867</v>
      </c>
      <c r="AO58" s="135">
        <f>($G58*Assumptions!AO64)*(1+'Cost Buildup'!$H58)^(AO$3-1)</f>
        <v>1704.8256428319867</v>
      </c>
      <c r="AP58" s="135">
        <f>($G58*Assumptions!AP64)*(1+'Cost Buildup'!$H58)^(AP$3-1)</f>
        <v>1704.8256428319867</v>
      </c>
      <c r="AQ58" s="135">
        <f>($G58*Assumptions!AQ64)*(1+'Cost Buildup'!$H58)^(AQ$3-1)</f>
        <v>1704.8256428319867</v>
      </c>
      <c r="AR58" s="135">
        <f>($G58*Assumptions!AR64)*(1+'Cost Buildup'!$H58)^(AR$3-1)</f>
        <v>1704.8256428319867</v>
      </c>
      <c r="AS58" s="135">
        <f>($G58*Assumptions!AS64)*(1+'Cost Buildup'!$H58)^(AS$3-1)</f>
        <v>1704.8256428319867</v>
      </c>
      <c r="AT58" s="135">
        <f>($G58*Assumptions!AT64)*(1+'Cost Buildup'!$H58)^(AT$3-1)</f>
        <v>1704.8256428319867</v>
      </c>
      <c r="AU58" s="135">
        <f>($G58*Assumptions!AU64)*(1+'Cost Buildup'!$H58)^(AU$3-1)</f>
        <v>1704.8256428319867</v>
      </c>
      <c r="AV58" s="135">
        <f>($G58*Assumptions!AV64)*(1+'Cost Buildup'!$H58)^(AV$3-1)</f>
        <v>1704.8256428319867</v>
      </c>
      <c r="AW58" s="135">
        <f>($G58*Assumptions!AW64)*(1+'Cost Buildup'!$H58)^(AW$3-1)</f>
        <v>1875.3082071151857</v>
      </c>
      <c r="AX58" s="135">
        <f>($G58*Assumptions!AX64)*(1+'Cost Buildup'!$H58)^(AX$3-1)</f>
        <v>1875.3082071151857</v>
      </c>
      <c r="AY58" s="135">
        <f>($G58*Assumptions!AY64)*(1+'Cost Buildup'!$H58)^(AY$3-1)</f>
        <v>1875.3082071151857</v>
      </c>
      <c r="AZ58" s="135">
        <f>($G58*Assumptions!AZ64)*(1+'Cost Buildup'!$H58)^(AZ$3-1)</f>
        <v>1875.3082071151857</v>
      </c>
      <c r="BA58" s="135">
        <f>($G58*Assumptions!BA64)*(1+'Cost Buildup'!$H58)^(BA$3-1)</f>
        <v>1875.3082071151857</v>
      </c>
      <c r="BB58" s="135">
        <f>($G58*Assumptions!BB64)*(1+'Cost Buildup'!$H58)^(BB$3-1)</f>
        <v>1875.3082071151857</v>
      </c>
      <c r="BC58" s="135">
        <f>($G58*Assumptions!BC64)*(1+'Cost Buildup'!$H58)^(BC$3-1)</f>
        <v>1875.3082071151857</v>
      </c>
      <c r="BD58" s="135">
        <f>($G58*Assumptions!BD64)*(1+'Cost Buildup'!$H58)^(BD$3-1)</f>
        <v>1875.3082071151857</v>
      </c>
      <c r="BE58" s="135">
        <f>($G58*Assumptions!BE64)*(1+'Cost Buildup'!$H58)^(BE$3-1)</f>
        <v>1875.3082071151857</v>
      </c>
      <c r="BF58" s="135">
        <f>($G58*Assumptions!BF64)*(1+'Cost Buildup'!$H58)^(BF$3-1)</f>
        <v>1875.3082071151857</v>
      </c>
      <c r="BG58" s="135">
        <f>($G58*Assumptions!BG64)*(1+'Cost Buildup'!$H58)^(BG$3-1)</f>
        <v>1875.3082071151857</v>
      </c>
      <c r="BH58" s="135">
        <f>($G58*Assumptions!BH64)*(1+'Cost Buildup'!$H58)^(BH$3-1)</f>
        <v>1875.3082071151857</v>
      </c>
      <c r="BI58" s="135">
        <f>($G58*Assumptions!BI64)*(1+'Cost Buildup'!$H58)^(BI$3-1)</f>
        <v>2062.8390278267043</v>
      </c>
      <c r="BJ58" s="135">
        <f>($G58*Assumptions!BJ64)*(1+'Cost Buildup'!$H58)^(BJ$3-1)</f>
        <v>2062.8390278267043</v>
      </c>
      <c r="BK58" s="135">
        <f>($G58*Assumptions!BK64)*(1+'Cost Buildup'!$H58)^(BK$3-1)</f>
        <v>2062.8390278267043</v>
      </c>
      <c r="BL58" s="135">
        <f>($G58*Assumptions!BL64)*(1+'Cost Buildup'!$H58)^(BL$3-1)</f>
        <v>2062.8390278267043</v>
      </c>
      <c r="BM58" s="135">
        <f>($G58*Assumptions!BM64)*(1+'Cost Buildup'!$H58)^(BM$3-1)</f>
        <v>2062.8390278267043</v>
      </c>
      <c r="BN58" s="135">
        <f>($G58*Assumptions!BN64)*(1+'Cost Buildup'!$H58)^(BN$3-1)</f>
        <v>2062.8390278267043</v>
      </c>
      <c r="BO58" s="135">
        <f>($G58*Assumptions!BO64)*(1+'Cost Buildup'!$H58)^(BO$3-1)</f>
        <v>2062.8390278267043</v>
      </c>
      <c r="BP58" s="135">
        <f>($G58*Assumptions!BP64)*(1+'Cost Buildup'!$H58)^(BP$3-1)</f>
        <v>2062.8390278267043</v>
      </c>
      <c r="BQ58" s="135">
        <f>($G58*Assumptions!BQ64)*(1+'Cost Buildup'!$H58)^(BQ$3-1)</f>
        <v>2062.8390278267043</v>
      </c>
      <c r="BR58" s="135">
        <f>($G58*Assumptions!BR64)*(1+'Cost Buildup'!$H58)^(BR$3-1)</f>
        <v>4125.6780556534086</v>
      </c>
      <c r="BS58" s="135">
        <f>($G58*Assumptions!BS64)*(1+'Cost Buildup'!$H58)^(BS$3-1)</f>
        <v>4125.6780556534086</v>
      </c>
      <c r="BT58" s="135">
        <f>($G58*Assumptions!BT64)*(1+'Cost Buildup'!$H58)^(BT$3-1)</f>
        <v>4125.6780556534086</v>
      </c>
      <c r="BU58" s="35"/>
      <c r="BV58" s="145"/>
      <c r="BW58" s="145"/>
      <c r="BX58" s="145"/>
      <c r="BY58" s="145"/>
      <c r="BZ58" s="145"/>
    </row>
    <row r="59" spans="1:78">
      <c r="A59" s="144" t="str">
        <f>Assumptions!A65</f>
        <v xml:space="preserve">Sr. Software </v>
      </c>
      <c r="F59" s="144" t="str">
        <f>Assumptions!F65</f>
        <v>Monthly Salary</v>
      </c>
      <c r="G59" s="135">
        <f>Assumptions!G65</f>
        <v>2500</v>
      </c>
      <c r="H59" s="180">
        <f>Assumptions!H65</f>
        <v>0.1</v>
      </c>
      <c r="I59" s="144" t="str">
        <f>Assumptions!I65</f>
        <v>Annual Increment</v>
      </c>
      <c r="M59" s="135">
        <f>($G59*Assumptions!M65)*(1+'Cost Buildup'!$H59)^(M$3-1)</f>
        <v>2500</v>
      </c>
      <c r="N59" s="135">
        <f>($G59*Assumptions!N65)*(1+'Cost Buildup'!$H59)^(N$3-1)</f>
        <v>2500</v>
      </c>
      <c r="O59" s="135">
        <f>($G59*Assumptions!O65)*(1+'Cost Buildup'!$H59)^(O$3-1)</f>
        <v>2500</v>
      </c>
      <c r="P59" s="135">
        <f>($G59*Assumptions!P65)*(1+'Cost Buildup'!$H59)^(P$3-1)</f>
        <v>2500</v>
      </c>
      <c r="Q59" s="135">
        <f>($G59*Assumptions!Q65)*(1+'Cost Buildup'!$H59)^(Q$3-1)</f>
        <v>2500</v>
      </c>
      <c r="R59" s="135">
        <f>($G59*Assumptions!R65)*(1+'Cost Buildup'!$H59)^(R$3-1)</f>
        <v>2500</v>
      </c>
      <c r="S59" s="135">
        <f>($G59*Assumptions!S65)*(1+'Cost Buildup'!$H59)^(S$3-1)</f>
        <v>2500</v>
      </c>
      <c r="T59" s="135">
        <f>($G59*Assumptions!T65)*(1+'Cost Buildup'!$H59)^(T$3-1)</f>
        <v>2500</v>
      </c>
      <c r="U59" s="135">
        <f>($G59*Assumptions!U65)*(1+'Cost Buildup'!$H59)^(U$3-1)</f>
        <v>2500</v>
      </c>
      <c r="V59" s="135">
        <f>($G59*Assumptions!V65)*(1+'Cost Buildup'!$H59)^(V$3-1)</f>
        <v>2500</v>
      </c>
      <c r="W59" s="135">
        <f>($G59*Assumptions!W65)*(1+'Cost Buildup'!$H59)^(W$3-1)</f>
        <v>2500</v>
      </c>
      <c r="X59" s="135">
        <f>($G59*Assumptions!X65)*(1+'Cost Buildup'!$H59)^(X$3-1)</f>
        <v>2500</v>
      </c>
      <c r="Y59" s="135">
        <f>($G59*Assumptions!Y65)*(1+'Cost Buildup'!$H59)^(Y$3-1)</f>
        <v>2750</v>
      </c>
      <c r="Z59" s="135">
        <f>($G59*Assumptions!Z65)*(1+'Cost Buildup'!$H59)^(Z$3-1)</f>
        <v>2750</v>
      </c>
      <c r="AA59" s="135">
        <f>($G59*Assumptions!AA65)*(1+'Cost Buildup'!$H59)^(AA$3-1)</f>
        <v>2750</v>
      </c>
      <c r="AB59" s="135">
        <f>($G59*Assumptions!AB65)*(1+'Cost Buildup'!$H59)^(AB$3-1)</f>
        <v>2750</v>
      </c>
      <c r="AC59" s="135">
        <f>($G59*Assumptions!AC65)*(1+'Cost Buildup'!$H59)^(AC$3-1)</f>
        <v>2750</v>
      </c>
      <c r="AD59" s="135">
        <f>($G59*Assumptions!AD65)*(1+'Cost Buildup'!$H59)^(AD$3-1)</f>
        <v>2750</v>
      </c>
      <c r="AE59" s="135">
        <f>($G59*Assumptions!AE65)*(1+'Cost Buildup'!$H59)^(AE$3-1)</f>
        <v>2750</v>
      </c>
      <c r="AF59" s="135">
        <f>($G59*Assumptions!AF65)*(1+'Cost Buildup'!$H59)^(AF$3-1)</f>
        <v>2750</v>
      </c>
      <c r="AG59" s="135">
        <f>($G59*Assumptions!AG65)*(1+'Cost Buildup'!$H59)^(AG$3-1)</f>
        <v>2750</v>
      </c>
      <c r="AH59" s="135">
        <f>($G59*Assumptions!AH65)*(1+'Cost Buildup'!$H59)^(AH$3-1)</f>
        <v>2750</v>
      </c>
      <c r="AI59" s="135">
        <f>($G59*Assumptions!AI65)*(1+'Cost Buildup'!$H59)^(AI$3-1)</f>
        <v>2750</v>
      </c>
      <c r="AJ59" s="135">
        <f>($G59*Assumptions!AJ65)*(1+'Cost Buildup'!$H59)^(AJ$3-1)</f>
        <v>2750</v>
      </c>
      <c r="AK59" s="135">
        <f>($G59*Assumptions!AK65)*(1+'Cost Buildup'!$H59)^(AK$3-1)</f>
        <v>3025.0000000000005</v>
      </c>
      <c r="AL59" s="135">
        <f>($G59*Assumptions!AL65)*(1+'Cost Buildup'!$H59)^(AL$3-1)</f>
        <v>3025.0000000000005</v>
      </c>
      <c r="AM59" s="135">
        <f>($G59*Assumptions!AM65)*(1+'Cost Buildup'!$H59)^(AM$3-1)</f>
        <v>3025.0000000000005</v>
      </c>
      <c r="AN59" s="135">
        <f>($G59*Assumptions!AN65)*(1+'Cost Buildup'!$H59)^(AN$3-1)</f>
        <v>3025.0000000000005</v>
      </c>
      <c r="AO59" s="135">
        <f>($G59*Assumptions!AO65)*(1+'Cost Buildup'!$H59)^(AO$3-1)</f>
        <v>3025.0000000000005</v>
      </c>
      <c r="AP59" s="135">
        <f>($G59*Assumptions!AP65)*(1+'Cost Buildup'!$H59)^(AP$3-1)</f>
        <v>3025.0000000000005</v>
      </c>
      <c r="AQ59" s="135">
        <f>($G59*Assumptions!AQ65)*(1+'Cost Buildup'!$H59)^(AQ$3-1)</f>
        <v>3025.0000000000005</v>
      </c>
      <c r="AR59" s="135">
        <f>($G59*Assumptions!AR65)*(1+'Cost Buildup'!$H59)^(AR$3-1)</f>
        <v>3025.0000000000005</v>
      </c>
      <c r="AS59" s="135">
        <f>($G59*Assumptions!AS65)*(1+'Cost Buildup'!$H59)^(AS$3-1)</f>
        <v>3025.0000000000005</v>
      </c>
      <c r="AT59" s="135">
        <f>($G59*Assumptions!AT65)*(1+'Cost Buildup'!$H59)^(AT$3-1)</f>
        <v>3025.0000000000005</v>
      </c>
      <c r="AU59" s="135">
        <f>($G59*Assumptions!AU65)*(1+'Cost Buildup'!$H59)^(AU$3-1)</f>
        <v>3025.0000000000005</v>
      </c>
      <c r="AV59" s="135">
        <f>($G59*Assumptions!AV65)*(1+'Cost Buildup'!$H59)^(AV$3-1)</f>
        <v>3025.0000000000005</v>
      </c>
      <c r="AW59" s="135">
        <f>($G59*Assumptions!AW65)*(1+'Cost Buildup'!$H59)^(AW$3-1)</f>
        <v>3327.5000000000009</v>
      </c>
      <c r="AX59" s="135">
        <f>($G59*Assumptions!AX65)*(1+'Cost Buildup'!$H59)^(AX$3-1)</f>
        <v>3327.5000000000009</v>
      </c>
      <c r="AY59" s="135">
        <f>($G59*Assumptions!AY65)*(1+'Cost Buildup'!$H59)^(AY$3-1)</f>
        <v>3327.5000000000009</v>
      </c>
      <c r="AZ59" s="135">
        <f>($G59*Assumptions!AZ65)*(1+'Cost Buildup'!$H59)^(AZ$3-1)</f>
        <v>3327.5000000000009</v>
      </c>
      <c r="BA59" s="135">
        <f>($G59*Assumptions!BA65)*(1+'Cost Buildup'!$H59)^(BA$3-1)</f>
        <v>3327.5000000000009</v>
      </c>
      <c r="BB59" s="135">
        <f>($G59*Assumptions!BB65)*(1+'Cost Buildup'!$H59)^(BB$3-1)</f>
        <v>3327.5000000000009</v>
      </c>
      <c r="BC59" s="135">
        <f>($G59*Assumptions!BC65)*(1+'Cost Buildup'!$H59)^(BC$3-1)</f>
        <v>3327.5000000000009</v>
      </c>
      <c r="BD59" s="135">
        <f>($G59*Assumptions!BD65)*(1+'Cost Buildup'!$H59)^(BD$3-1)</f>
        <v>3327.5000000000009</v>
      </c>
      <c r="BE59" s="135">
        <f>($G59*Assumptions!BE65)*(1+'Cost Buildup'!$H59)^(BE$3-1)</f>
        <v>3327.5000000000009</v>
      </c>
      <c r="BF59" s="135">
        <f>($G59*Assumptions!BF65)*(1+'Cost Buildup'!$H59)^(BF$3-1)</f>
        <v>3327.5000000000009</v>
      </c>
      <c r="BG59" s="135">
        <f>($G59*Assumptions!BG65)*(1+'Cost Buildup'!$H59)^(BG$3-1)</f>
        <v>3327.5000000000009</v>
      </c>
      <c r="BH59" s="135">
        <f>($G59*Assumptions!BH65)*(1+'Cost Buildup'!$H59)^(BH$3-1)</f>
        <v>3327.5000000000009</v>
      </c>
      <c r="BI59" s="135">
        <f>($G59*Assumptions!BI65)*(1+'Cost Buildup'!$H59)^(BI$3-1)</f>
        <v>3660.2500000000009</v>
      </c>
      <c r="BJ59" s="135">
        <f>($G59*Assumptions!BJ65)*(1+'Cost Buildup'!$H59)^(BJ$3-1)</f>
        <v>3660.2500000000009</v>
      </c>
      <c r="BK59" s="135">
        <f>($G59*Assumptions!BK65)*(1+'Cost Buildup'!$H59)^(BK$3-1)</f>
        <v>3660.2500000000009</v>
      </c>
      <c r="BL59" s="135">
        <f>($G59*Assumptions!BL65)*(1+'Cost Buildup'!$H59)^(BL$3-1)</f>
        <v>3660.2500000000009</v>
      </c>
      <c r="BM59" s="135">
        <f>($G59*Assumptions!BM65)*(1+'Cost Buildup'!$H59)^(BM$3-1)</f>
        <v>3660.2500000000009</v>
      </c>
      <c r="BN59" s="135">
        <f>($G59*Assumptions!BN65)*(1+'Cost Buildup'!$H59)^(BN$3-1)</f>
        <v>3660.2500000000009</v>
      </c>
      <c r="BO59" s="135">
        <f>($G59*Assumptions!BO65)*(1+'Cost Buildup'!$H59)^(BO$3-1)</f>
        <v>3660.2500000000009</v>
      </c>
      <c r="BP59" s="135">
        <f>($G59*Assumptions!BP65)*(1+'Cost Buildup'!$H59)^(BP$3-1)</f>
        <v>3660.2500000000009</v>
      </c>
      <c r="BQ59" s="135">
        <f>($G59*Assumptions!BQ65)*(1+'Cost Buildup'!$H59)^(BQ$3-1)</f>
        <v>3660.2500000000009</v>
      </c>
      <c r="BR59" s="135">
        <f>($G59*Assumptions!BR65)*(1+'Cost Buildup'!$H59)^(BR$3-1)</f>
        <v>7320.5000000000018</v>
      </c>
      <c r="BS59" s="135">
        <f>($G59*Assumptions!BS65)*(1+'Cost Buildup'!$H59)^(BS$3-1)</f>
        <v>7320.5000000000018</v>
      </c>
      <c r="BT59" s="135">
        <f>($G59*Assumptions!BT65)*(1+'Cost Buildup'!$H59)^(BT$3-1)</f>
        <v>7320.5000000000018</v>
      </c>
      <c r="BU59" s="35"/>
      <c r="BV59" s="145"/>
      <c r="BW59" s="145"/>
      <c r="BX59" s="145"/>
      <c r="BY59" s="145"/>
      <c r="BZ59" s="145"/>
    </row>
    <row r="60" spans="1:78">
      <c r="A60" s="144" t="str">
        <f>Assumptions!A66</f>
        <v>Solution Architect</v>
      </c>
      <c r="F60" s="144" t="str">
        <f>Assumptions!F66</f>
        <v>Monthly Salary</v>
      </c>
      <c r="G60" s="135">
        <f>Assumptions!G66</f>
        <v>3000</v>
      </c>
      <c r="H60" s="180">
        <f>Assumptions!H66</f>
        <v>0.1</v>
      </c>
      <c r="I60" s="144" t="str">
        <f>Assumptions!I66</f>
        <v>Annual Increment</v>
      </c>
      <c r="M60" s="135">
        <f>($G60*Assumptions!M66)*(1+'Cost Buildup'!$H60)^(M$3-1)</f>
        <v>3000</v>
      </c>
      <c r="N60" s="135">
        <f>($G60*Assumptions!N66)*(1+'Cost Buildup'!$H60)^(N$3-1)</f>
        <v>3000</v>
      </c>
      <c r="O60" s="135">
        <f>($G60*Assumptions!O66)*(1+'Cost Buildup'!$H60)^(O$3-1)</f>
        <v>3000</v>
      </c>
      <c r="P60" s="135">
        <f>($G60*Assumptions!P66)*(1+'Cost Buildup'!$H60)^(P$3-1)</f>
        <v>3000</v>
      </c>
      <c r="Q60" s="135">
        <f>($G60*Assumptions!Q66)*(1+'Cost Buildup'!$H60)^(Q$3-1)</f>
        <v>3000</v>
      </c>
      <c r="R60" s="135">
        <f>($G60*Assumptions!R66)*(1+'Cost Buildup'!$H60)^(R$3-1)</f>
        <v>3000</v>
      </c>
      <c r="S60" s="135">
        <f>($G60*Assumptions!S66)*(1+'Cost Buildup'!$H60)^(S$3-1)</f>
        <v>3000</v>
      </c>
      <c r="T60" s="135">
        <f>($G60*Assumptions!T66)*(1+'Cost Buildup'!$H60)^(T$3-1)</f>
        <v>3000</v>
      </c>
      <c r="U60" s="135">
        <f>($G60*Assumptions!U66)*(1+'Cost Buildup'!$H60)^(U$3-1)</f>
        <v>3000</v>
      </c>
      <c r="V60" s="135">
        <f>($G60*Assumptions!V66)*(1+'Cost Buildup'!$H60)^(V$3-1)</f>
        <v>3000</v>
      </c>
      <c r="W60" s="135">
        <f>($G60*Assumptions!W66)*(1+'Cost Buildup'!$H60)^(W$3-1)</f>
        <v>3000</v>
      </c>
      <c r="X60" s="135">
        <f>($G60*Assumptions!X66)*(1+'Cost Buildup'!$H60)^(X$3-1)</f>
        <v>3000</v>
      </c>
      <c r="Y60" s="135">
        <f>($G60*Assumptions!Y66)*(1+'Cost Buildup'!$H60)^(Y$3-1)</f>
        <v>3300.0000000000005</v>
      </c>
      <c r="Z60" s="135">
        <f>($G60*Assumptions!Z66)*(1+'Cost Buildup'!$H60)^(Z$3-1)</f>
        <v>3300.0000000000005</v>
      </c>
      <c r="AA60" s="135">
        <f>($G60*Assumptions!AA66)*(1+'Cost Buildup'!$H60)^(AA$3-1)</f>
        <v>3300.0000000000005</v>
      </c>
      <c r="AB60" s="135">
        <f>($G60*Assumptions!AB66)*(1+'Cost Buildup'!$H60)^(AB$3-1)</f>
        <v>3300.0000000000005</v>
      </c>
      <c r="AC60" s="135">
        <f>($G60*Assumptions!AC66)*(1+'Cost Buildup'!$H60)^(AC$3-1)</f>
        <v>3300.0000000000005</v>
      </c>
      <c r="AD60" s="135">
        <f>($G60*Assumptions!AD66)*(1+'Cost Buildup'!$H60)^(AD$3-1)</f>
        <v>3300.0000000000005</v>
      </c>
      <c r="AE60" s="135">
        <f>($G60*Assumptions!AE66)*(1+'Cost Buildup'!$H60)^(AE$3-1)</f>
        <v>3300.0000000000005</v>
      </c>
      <c r="AF60" s="135">
        <f>($G60*Assumptions!AF66)*(1+'Cost Buildup'!$H60)^(AF$3-1)</f>
        <v>3300.0000000000005</v>
      </c>
      <c r="AG60" s="135">
        <f>($G60*Assumptions!AG66)*(1+'Cost Buildup'!$H60)^(AG$3-1)</f>
        <v>3300.0000000000005</v>
      </c>
      <c r="AH60" s="135">
        <f>($G60*Assumptions!AH66)*(1+'Cost Buildup'!$H60)^(AH$3-1)</f>
        <v>3300.0000000000005</v>
      </c>
      <c r="AI60" s="135">
        <f>($G60*Assumptions!AI66)*(1+'Cost Buildup'!$H60)^(AI$3-1)</f>
        <v>3300.0000000000005</v>
      </c>
      <c r="AJ60" s="135">
        <f>($G60*Assumptions!AJ66)*(1+'Cost Buildup'!$H60)^(AJ$3-1)</f>
        <v>3300.0000000000005</v>
      </c>
      <c r="AK60" s="135">
        <f>($G60*Assumptions!AK66)*(1+'Cost Buildup'!$H60)^(AK$3-1)</f>
        <v>3630.0000000000005</v>
      </c>
      <c r="AL60" s="135">
        <f>($G60*Assumptions!AL66)*(1+'Cost Buildup'!$H60)^(AL$3-1)</f>
        <v>3630.0000000000005</v>
      </c>
      <c r="AM60" s="135">
        <f>($G60*Assumptions!AM66)*(1+'Cost Buildup'!$H60)^(AM$3-1)</f>
        <v>3630.0000000000005</v>
      </c>
      <c r="AN60" s="135">
        <f>($G60*Assumptions!AN66)*(1+'Cost Buildup'!$H60)^(AN$3-1)</f>
        <v>3630.0000000000005</v>
      </c>
      <c r="AO60" s="135">
        <f>($G60*Assumptions!AO66)*(1+'Cost Buildup'!$H60)^(AO$3-1)</f>
        <v>3630.0000000000005</v>
      </c>
      <c r="AP60" s="135">
        <f>($G60*Assumptions!AP66)*(1+'Cost Buildup'!$H60)^(AP$3-1)</f>
        <v>3630.0000000000005</v>
      </c>
      <c r="AQ60" s="135">
        <f>($G60*Assumptions!AQ66)*(1+'Cost Buildup'!$H60)^(AQ$3-1)</f>
        <v>3630.0000000000005</v>
      </c>
      <c r="AR60" s="135">
        <f>($G60*Assumptions!AR66)*(1+'Cost Buildup'!$H60)^(AR$3-1)</f>
        <v>3630.0000000000005</v>
      </c>
      <c r="AS60" s="135">
        <f>($G60*Assumptions!AS66)*(1+'Cost Buildup'!$H60)^(AS$3-1)</f>
        <v>3630.0000000000005</v>
      </c>
      <c r="AT60" s="135">
        <f>($G60*Assumptions!AT66)*(1+'Cost Buildup'!$H60)^(AT$3-1)</f>
        <v>3630.0000000000005</v>
      </c>
      <c r="AU60" s="135">
        <f>($G60*Assumptions!AU66)*(1+'Cost Buildup'!$H60)^(AU$3-1)</f>
        <v>3630.0000000000005</v>
      </c>
      <c r="AV60" s="135">
        <f>($G60*Assumptions!AV66)*(1+'Cost Buildup'!$H60)^(AV$3-1)</f>
        <v>3630.0000000000005</v>
      </c>
      <c r="AW60" s="135">
        <f>($G60*Assumptions!AW66)*(1+'Cost Buildup'!$H60)^(AW$3-1)</f>
        <v>3993.0000000000014</v>
      </c>
      <c r="AX60" s="135">
        <f>($G60*Assumptions!AX66)*(1+'Cost Buildup'!$H60)^(AX$3-1)</f>
        <v>3993.0000000000014</v>
      </c>
      <c r="AY60" s="135">
        <f>($G60*Assumptions!AY66)*(1+'Cost Buildup'!$H60)^(AY$3-1)</f>
        <v>3993.0000000000014</v>
      </c>
      <c r="AZ60" s="135">
        <f>($G60*Assumptions!AZ66)*(1+'Cost Buildup'!$H60)^(AZ$3-1)</f>
        <v>3993.0000000000014</v>
      </c>
      <c r="BA60" s="135">
        <f>($G60*Assumptions!BA66)*(1+'Cost Buildup'!$H60)^(BA$3-1)</f>
        <v>3993.0000000000014</v>
      </c>
      <c r="BB60" s="135">
        <f>($G60*Assumptions!BB66)*(1+'Cost Buildup'!$H60)^(BB$3-1)</f>
        <v>3993.0000000000014</v>
      </c>
      <c r="BC60" s="135">
        <f>($G60*Assumptions!BC66)*(1+'Cost Buildup'!$H60)^(BC$3-1)</f>
        <v>3993.0000000000014</v>
      </c>
      <c r="BD60" s="135">
        <f>($G60*Assumptions!BD66)*(1+'Cost Buildup'!$H60)^(BD$3-1)</f>
        <v>3993.0000000000014</v>
      </c>
      <c r="BE60" s="135">
        <f>($G60*Assumptions!BE66)*(1+'Cost Buildup'!$H60)^(BE$3-1)</f>
        <v>3993.0000000000014</v>
      </c>
      <c r="BF60" s="135">
        <f>($G60*Assumptions!BF66)*(1+'Cost Buildup'!$H60)^(BF$3-1)</f>
        <v>3993.0000000000014</v>
      </c>
      <c r="BG60" s="135">
        <f>($G60*Assumptions!BG66)*(1+'Cost Buildup'!$H60)^(BG$3-1)</f>
        <v>3993.0000000000014</v>
      </c>
      <c r="BH60" s="135">
        <f>($G60*Assumptions!BH66)*(1+'Cost Buildup'!$H60)^(BH$3-1)</f>
        <v>3993.0000000000014</v>
      </c>
      <c r="BI60" s="135">
        <f>($G60*Assumptions!BI66)*(1+'Cost Buildup'!$H60)^(BI$3-1)</f>
        <v>4392.3000000000011</v>
      </c>
      <c r="BJ60" s="135">
        <f>($G60*Assumptions!BJ66)*(1+'Cost Buildup'!$H60)^(BJ$3-1)</f>
        <v>4392.3000000000011</v>
      </c>
      <c r="BK60" s="135">
        <f>($G60*Assumptions!BK66)*(1+'Cost Buildup'!$H60)^(BK$3-1)</f>
        <v>4392.3000000000011</v>
      </c>
      <c r="BL60" s="135">
        <f>($G60*Assumptions!BL66)*(1+'Cost Buildup'!$H60)^(BL$3-1)</f>
        <v>4392.3000000000011</v>
      </c>
      <c r="BM60" s="135">
        <f>($G60*Assumptions!BM66)*(1+'Cost Buildup'!$H60)^(BM$3-1)</f>
        <v>4392.3000000000011</v>
      </c>
      <c r="BN60" s="135">
        <f>($G60*Assumptions!BN66)*(1+'Cost Buildup'!$H60)^(BN$3-1)</f>
        <v>4392.3000000000011</v>
      </c>
      <c r="BO60" s="135">
        <f>($G60*Assumptions!BO66)*(1+'Cost Buildup'!$H60)^(BO$3-1)</f>
        <v>4392.3000000000011</v>
      </c>
      <c r="BP60" s="135">
        <f>($G60*Assumptions!BP66)*(1+'Cost Buildup'!$H60)^(BP$3-1)</f>
        <v>4392.3000000000011</v>
      </c>
      <c r="BQ60" s="135">
        <f>($G60*Assumptions!BQ66)*(1+'Cost Buildup'!$H60)^(BQ$3-1)</f>
        <v>4392.3000000000011</v>
      </c>
      <c r="BR60" s="135">
        <f>($G60*Assumptions!BR66)*(1+'Cost Buildup'!$H60)^(BR$3-1)</f>
        <v>8784.6000000000022</v>
      </c>
      <c r="BS60" s="135">
        <f>($G60*Assumptions!BS66)*(1+'Cost Buildup'!$H60)^(BS$3-1)</f>
        <v>8784.6000000000022</v>
      </c>
      <c r="BT60" s="135">
        <f>($G60*Assumptions!BT66)*(1+'Cost Buildup'!$H60)^(BT$3-1)</f>
        <v>8784.6000000000022</v>
      </c>
      <c r="BU60" s="35"/>
      <c r="BV60" s="145"/>
      <c r="BW60" s="145"/>
      <c r="BX60" s="145"/>
      <c r="BY60" s="145"/>
      <c r="BZ60" s="145"/>
    </row>
    <row r="61" spans="1:78">
      <c r="A61" s="144" t="str">
        <f>Assumptions!A67</f>
        <v>Test Er</v>
      </c>
      <c r="F61" s="144" t="str">
        <f>Assumptions!F67</f>
        <v>Monthly Salary</v>
      </c>
      <c r="G61" s="135">
        <f>Assumptions!G67</f>
        <v>1174.1223435482</v>
      </c>
      <c r="H61" s="180">
        <f>Assumptions!H67</f>
        <v>0.1</v>
      </c>
      <c r="I61" s="144" t="str">
        <f>Assumptions!I67</f>
        <v>Annual Increment</v>
      </c>
      <c r="M61" s="135">
        <f>($G61*Assumptions!M67)*(1+'Cost Buildup'!$H61)^(M$3-1)</f>
        <v>1174.1223435482</v>
      </c>
      <c r="N61" s="135">
        <f>($G61*Assumptions!N67)*(1+'Cost Buildup'!$H61)^(N$3-1)</f>
        <v>1174.1223435482</v>
      </c>
      <c r="O61" s="135">
        <f>($G61*Assumptions!O67)*(1+'Cost Buildup'!$H61)^(O$3-1)</f>
        <v>1174.1223435482</v>
      </c>
      <c r="P61" s="135">
        <f>($G61*Assumptions!P67)*(1+'Cost Buildup'!$H61)^(P$3-1)</f>
        <v>1174.1223435482</v>
      </c>
      <c r="Q61" s="135">
        <f>($G61*Assumptions!Q67)*(1+'Cost Buildup'!$H61)^(Q$3-1)</f>
        <v>1174.1223435482</v>
      </c>
      <c r="R61" s="135">
        <f>($G61*Assumptions!R67)*(1+'Cost Buildup'!$H61)^(R$3-1)</f>
        <v>1174.1223435482</v>
      </c>
      <c r="S61" s="135">
        <f>($G61*Assumptions!S67)*(1+'Cost Buildup'!$H61)^(S$3-1)</f>
        <v>1174.1223435482</v>
      </c>
      <c r="T61" s="135">
        <f>($G61*Assumptions!T67)*(1+'Cost Buildup'!$H61)^(T$3-1)</f>
        <v>1174.1223435482</v>
      </c>
      <c r="U61" s="135">
        <f>($G61*Assumptions!U67)*(1+'Cost Buildup'!$H61)^(U$3-1)</f>
        <v>1174.1223435482</v>
      </c>
      <c r="V61" s="135">
        <f>($G61*Assumptions!V67)*(1+'Cost Buildup'!$H61)^(V$3-1)</f>
        <v>1174.1223435482</v>
      </c>
      <c r="W61" s="135">
        <f>($G61*Assumptions!W67)*(1+'Cost Buildup'!$H61)^(W$3-1)</f>
        <v>1174.1223435482</v>
      </c>
      <c r="X61" s="135">
        <f>($G61*Assumptions!X67)*(1+'Cost Buildup'!$H61)^(X$3-1)</f>
        <v>1174.1223435482</v>
      </c>
      <c r="Y61" s="135">
        <f>($G61*Assumptions!Y67)*(1+'Cost Buildup'!$H61)^(Y$3-1)</f>
        <v>1291.5345779030201</v>
      </c>
      <c r="Z61" s="135">
        <f>($G61*Assumptions!Z67)*(1+'Cost Buildup'!$H61)^(Z$3-1)</f>
        <v>1291.5345779030201</v>
      </c>
      <c r="AA61" s="135">
        <f>($G61*Assumptions!AA67)*(1+'Cost Buildup'!$H61)^(AA$3-1)</f>
        <v>1291.5345779030201</v>
      </c>
      <c r="AB61" s="135">
        <f>($G61*Assumptions!AB67)*(1+'Cost Buildup'!$H61)^(AB$3-1)</f>
        <v>1291.5345779030201</v>
      </c>
      <c r="AC61" s="135">
        <f>($G61*Assumptions!AC67)*(1+'Cost Buildup'!$H61)^(AC$3-1)</f>
        <v>1291.5345779030201</v>
      </c>
      <c r="AD61" s="135">
        <f>($G61*Assumptions!AD67)*(1+'Cost Buildup'!$H61)^(AD$3-1)</f>
        <v>1291.5345779030201</v>
      </c>
      <c r="AE61" s="135">
        <f>($G61*Assumptions!AE67)*(1+'Cost Buildup'!$H61)^(AE$3-1)</f>
        <v>1291.5345779030201</v>
      </c>
      <c r="AF61" s="135">
        <f>($G61*Assumptions!AF67)*(1+'Cost Buildup'!$H61)^(AF$3-1)</f>
        <v>1291.5345779030201</v>
      </c>
      <c r="AG61" s="135">
        <f>($G61*Assumptions!AG67)*(1+'Cost Buildup'!$H61)^(AG$3-1)</f>
        <v>1291.5345779030201</v>
      </c>
      <c r="AH61" s="135">
        <f>($G61*Assumptions!AH67)*(1+'Cost Buildup'!$H61)^(AH$3-1)</f>
        <v>1291.5345779030201</v>
      </c>
      <c r="AI61" s="135">
        <f>($G61*Assumptions!AI67)*(1+'Cost Buildup'!$H61)^(AI$3-1)</f>
        <v>1291.5345779030201</v>
      </c>
      <c r="AJ61" s="135">
        <f>($G61*Assumptions!AJ67)*(1+'Cost Buildup'!$H61)^(AJ$3-1)</f>
        <v>1291.5345779030201</v>
      </c>
      <c r="AK61" s="135">
        <f>($G61*Assumptions!AK67)*(1+'Cost Buildup'!$H61)^(AK$3-1)</f>
        <v>1420.6880356933223</v>
      </c>
      <c r="AL61" s="135">
        <f>($G61*Assumptions!AL67)*(1+'Cost Buildup'!$H61)^(AL$3-1)</f>
        <v>1420.6880356933223</v>
      </c>
      <c r="AM61" s="135">
        <f>($G61*Assumptions!AM67)*(1+'Cost Buildup'!$H61)^(AM$3-1)</f>
        <v>1420.6880356933223</v>
      </c>
      <c r="AN61" s="135">
        <f>($G61*Assumptions!AN67)*(1+'Cost Buildup'!$H61)^(AN$3-1)</f>
        <v>1420.6880356933223</v>
      </c>
      <c r="AO61" s="135">
        <f>($G61*Assumptions!AO67)*(1+'Cost Buildup'!$H61)^(AO$3-1)</f>
        <v>1420.6880356933223</v>
      </c>
      <c r="AP61" s="135">
        <f>($G61*Assumptions!AP67)*(1+'Cost Buildup'!$H61)^(AP$3-1)</f>
        <v>1420.6880356933223</v>
      </c>
      <c r="AQ61" s="135">
        <f>($G61*Assumptions!AQ67)*(1+'Cost Buildup'!$H61)^(AQ$3-1)</f>
        <v>1420.6880356933223</v>
      </c>
      <c r="AR61" s="135">
        <f>($G61*Assumptions!AR67)*(1+'Cost Buildup'!$H61)^(AR$3-1)</f>
        <v>1420.6880356933223</v>
      </c>
      <c r="AS61" s="135">
        <f>($G61*Assumptions!AS67)*(1+'Cost Buildup'!$H61)^(AS$3-1)</f>
        <v>1420.6880356933223</v>
      </c>
      <c r="AT61" s="135">
        <f>($G61*Assumptions!AT67)*(1+'Cost Buildup'!$H61)^(AT$3-1)</f>
        <v>1420.6880356933223</v>
      </c>
      <c r="AU61" s="135">
        <f>($G61*Assumptions!AU67)*(1+'Cost Buildup'!$H61)^(AU$3-1)</f>
        <v>1420.6880356933223</v>
      </c>
      <c r="AV61" s="135">
        <f>($G61*Assumptions!AV67)*(1+'Cost Buildup'!$H61)^(AV$3-1)</f>
        <v>1420.6880356933223</v>
      </c>
      <c r="AW61" s="135">
        <f>($G61*Assumptions!AW67)*(1+'Cost Buildup'!$H61)^(AW$3-1)</f>
        <v>1562.7568392626547</v>
      </c>
      <c r="AX61" s="135">
        <f>($G61*Assumptions!AX67)*(1+'Cost Buildup'!$H61)^(AX$3-1)</f>
        <v>1562.7568392626547</v>
      </c>
      <c r="AY61" s="135">
        <f>($G61*Assumptions!AY67)*(1+'Cost Buildup'!$H61)^(AY$3-1)</f>
        <v>1562.7568392626547</v>
      </c>
      <c r="AZ61" s="135">
        <f>($G61*Assumptions!AZ67)*(1+'Cost Buildup'!$H61)^(AZ$3-1)</f>
        <v>1562.7568392626547</v>
      </c>
      <c r="BA61" s="135">
        <f>($G61*Assumptions!BA67)*(1+'Cost Buildup'!$H61)^(BA$3-1)</f>
        <v>1562.7568392626547</v>
      </c>
      <c r="BB61" s="135">
        <f>($G61*Assumptions!BB67)*(1+'Cost Buildup'!$H61)^(BB$3-1)</f>
        <v>1562.7568392626547</v>
      </c>
      <c r="BC61" s="135">
        <f>($G61*Assumptions!BC67)*(1+'Cost Buildup'!$H61)^(BC$3-1)</f>
        <v>1562.7568392626547</v>
      </c>
      <c r="BD61" s="135">
        <f>($G61*Assumptions!BD67)*(1+'Cost Buildup'!$H61)^(BD$3-1)</f>
        <v>1562.7568392626547</v>
      </c>
      <c r="BE61" s="135">
        <f>($G61*Assumptions!BE67)*(1+'Cost Buildup'!$H61)^(BE$3-1)</f>
        <v>1562.7568392626547</v>
      </c>
      <c r="BF61" s="135">
        <f>($G61*Assumptions!BF67)*(1+'Cost Buildup'!$H61)^(BF$3-1)</f>
        <v>1562.7568392626547</v>
      </c>
      <c r="BG61" s="135">
        <f>($G61*Assumptions!BG67)*(1+'Cost Buildup'!$H61)^(BG$3-1)</f>
        <v>1562.7568392626547</v>
      </c>
      <c r="BH61" s="135">
        <f>($G61*Assumptions!BH67)*(1+'Cost Buildup'!$H61)^(BH$3-1)</f>
        <v>1562.7568392626547</v>
      </c>
      <c r="BI61" s="135">
        <f>($G61*Assumptions!BI67)*(1+'Cost Buildup'!$H61)^(BI$3-1)</f>
        <v>1719.0325231889201</v>
      </c>
      <c r="BJ61" s="135">
        <f>($G61*Assumptions!BJ67)*(1+'Cost Buildup'!$H61)^(BJ$3-1)</f>
        <v>1719.0325231889201</v>
      </c>
      <c r="BK61" s="135">
        <f>($G61*Assumptions!BK67)*(1+'Cost Buildup'!$H61)^(BK$3-1)</f>
        <v>1719.0325231889201</v>
      </c>
      <c r="BL61" s="135">
        <f>($G61*Assumptions!BL67)*(1+'Cost Buildup'!$H61)^(BL$3-1)</f>
        <v>1719.0325231889201</v>
      </c>
      <c r="BM61" s="135">
        <f>($G61*Assumptions!BM67)*(1+'Cost Buildup'!$H61)^(BM$3-1)</f>
        <v>1719.0325231889201</v>
      </c>
      <c r="BN61" s="135">
        <f>($G61*Assumptions!BN67)*(1+'Cost Buildup'!$H61)^(BN$3-1)</f>
        <v>1719.0325231889201</v>
      </c>
      <c r="BO61" s="135">
        <f>($G61*Assumptions!BO67)*(1+'Cost Buildup'!$H61)^(BO$3-1)</f>
        <v>1719.0325231889201</v>
      </c>
      <c r="BP61" s="135">
        <f>($G61*Assumptions!BP67)*(1+'Cost Buildup'!$H61)^(BP$3-1)</f>
        <v>1719.0325231889201</v>
      </c>
      <c r="BQ61" s="135">
        <f>($G61*Assumptions!BQ67)*(1+'Cost Buildup'!$H61)^(BQ$3-1)</f>
        <v>1719.0325231889201</v>
      </c>
      <c r="BR61" s="135">
        <f>($G61*Assumptions!BR67)*(1+'Cost Buildup'!$H61)^(BR$3-1)</f>
        <v>3438.0650463778402</v>
      </c>
      <c r="BS61" s="135">
        <f>($G61*Assumptions!BS67)*(1+'Cost Buildup'!$H61)^(BS$3-1)</f>
        <v>3438.0650463778402</v>
      </c>
      <c r="BT61" s="135">
        <f>($G61*Assumptions!BT67)*(1+'Cost Buildup'!$H61)^(BT$3-1)</f>
        <v>3438.0650463778402</v>
      </c>
      <c r="BU61" s="35"/>
      <c r="BV61" s="145"/>
      <c r="BW61" s="145"/>
      <c r="BX61" s="145"/>
      <c r="BY61" s="145"/>
      <c r="BZ61" s="145"/>
    </row>
    <row r="62" spans="1:78">
      <c r="A62" s="144" t="str">
        <f>Assumptions!A68</f>
        <v>Jr. Test Er</v>
      </c>
      <c r="F62" s="144" t="str">
        <f>Assumptions!F68</f>
        <v>Monthly Salary</v>
      </c>
      <c r="G62" s="135">
        <f>Assumptions!G68</f>
        <v>821.88564048373803</v>
      </c>
      <c r="H62" s="180">
        <f>Assumptions!H68</f>
        <v>0.1</v>
      </c>
      <c r="I62" s="144" t="str">
        <f>Assumptions!I68</f>
        <v>Annual Increment</v>
      </c>
      <c r="M62" s="135">
        <f>($G62*Assumptions!M68)*(1+'Cost Buildup'!$H62)^(M$3-1)</f>
        <v>821.88564048373803</v>
      </c>
      <c r="N62" s="135">
        <f>($G62*Assumptions!N68)*(1+'Cost Buildup'!$H62)^(N$3-1)</f>
        <v>821.88564048373803</v>
      </c>
      <c r="O62" s="135">
        <f>($G62*Assumptions!O68)*(1+'Cost Buildup'!$H62)^(O$3-1)</f>
        <v>821.88564048373803</v>
      </c>
      <c r="P62" s="135">
        <f>($G62*Assumptions!P68)*(1+'Cost Buildup'!$H62)^(P$3-1)</f>
        <v>821.88564048373803</v>
      </c>
      <c r="Q62" s="135">
        <f>($G62*Assumptions!Q68)*(1+'Cost Buildup'!$H62)^(Q$3-1)</f>
        <v>821.88564048373803</v>
      </c>
      <c r="R62" s="135">
        <f>($G62*Assumptions!R68)*(1+'Cost Buildup'!$H62)^(R$3-1)</f>
        <v>821.88564048373803</v>
      </c>
      <c r="S62" s="135">
        <f>($G62*Assumptions!S68)*(1+'Cost Buildup'!$H62)^(S$3-1)</f>
        <v>821.88564048373803</v>
      </c>
      <c r="T62" s="135">
        <f>($G62*Assumptions!T68)*(1+'Cost Buildup'!$H62)^(T$3-1)</f>
        <v>821.88564048373803</v>
      </c>
      <c r="U62" s="135">
        <f>($G62*Assumptions!U68)*(1+'Cost Buildup'!$H62)^(U$3-1)</f>
        <v>821.88564048373803</v>
      </c>
      <c r="V62" s="135">
        <f>($G62*Assumptions!V68)*(1+'Cost Buildup'!$H62)^(V$3-1)</f>
        <v>821.88564048373803</v>
      </c>
      <c r="W62" s="135">
        <f>($G62*Assumptions!W68)*(1+'Cost Buildup'!$H62)^(W$3-1)</f>
        <v>821.88564048373803</v>
      </c>
      <c r="X62" s="135">
        <f>($G62*Assumptions!X68)*(1+'Cost Buildup'!$H62)^(X$3-1)</f>
        <v>821.88564048373803</v>
      </c>
      <c r="Y62" s="135">
        <f>($G62*Assumptions!Y68)*(1+'Cost Buildup'!$H62)^(Y$3-1)</f>
        <v>904.07420453211193</v>
      </c>
      <c r="Z62" s="135">
        <f>($G62*Assumptions!Z68)*(1+'Cost Buildup'!$H62)^(Z$3-1)</f>
        <v>904.07420453211193</v>
      </c>
      <c r="AA62" s="135">
        <f>($G62*Assumptions!AA68)*(1+'Cost Buildup'!$H62)^(AA$3-1)</f>
        <v>904.07420453211193</v>
      </c>
      <c r="AB62" s="135">
        <f>($G62*Assumptions!AB68)*(1+'Cost Buildup'!$H62)^(AB$3-1)</f>
        <v>904.07420453211193</v>
      </c>
      <c r="AC62" s="135">
        <f>($G62*Assumptions!AC68)*(1+'Cost Buildup'!$H62)^(AC$3-1)</f>
        <v>904.07420453211193</v>
      </c>
      <c r="AD62" s="135">
        <f>($G62*Assumptions!AD68)*(1+'Cost Buildup'!$H62)^(AD$3-1)</f>
        <v>904.07420453211193</v>
      </c>
      <c r="AE62" s="135">
        <f>($G62*Assumptions!AE68)*(1+'Cost Buildup'!$H62)^(AE$3-1)</f>
        <v>904.07420453211193</v>
      </c>
      <c r="AF62" s="135">
        <f>($G62*Assumptions!AF68)*(1+'Cost Buildup'!$H62)^(AF$3-1)</f>
        <v>904.07420453211193</v>
      </c>
      <c r="AG62" s="135">
        <f>($G62*Assumptions!AG68)*(1+'Cost Buildup'!$H62)^(AG$3-1)</f>
        <v>904.07420453211193</v>
      </c>
      <c r="AH62" s="135">
        <f>($G62*Assumptions!AH68)*(1+'Cost Buildup'!$H62)^(AH$3-1)</f>
        <v>904.07420453211193</v>
      </c>
      <c r="AI62" s="135">
        <f>($G62*Assumptions!AI68)*(1+'Cost Buildup'!$H62)^(AI$3-1)</f>
        <v>904.07420453211193</v>
      </c>
      <c r="AJ62" s="135">
        <f>($G62*Assumptions!AJ68)*(1+'Cost Buildup'!$H62)^(AJ$3-1)</f>
        <v>904.07420453211193</v>
      </c>
      <c r="AK62" s="135">
        <f>($G62*Assumptions!AK68)*(1+'Cost Buildup'!$H62)^(AK$3-1)</f>
        <v>994.48162498532315</v>
      </c>
      <c r="AL62" s="135">
        <f>($G62*Assumptions!AL68)*(1+'Cost Buildup'!$H62)^(AL$3-1)</f>
        <v>994.48162498532315</v>
      </c>
      <c r="AM62" s="135">
        <f>($G62*Assumptions!AM68)*(1+'Cost Buildup'!$H62)^(AM$3-1)</f>
        <v>994.48162498532315</v>
      </c>
      <c r="AN62" s="135">
        <f>($G62*Assumptions!AN68)*(1+'Cost Buildup'!$H62)^(AN$3-1)</f>
        <v>994.48162498532315</v>
      </c>
      <c r="AO62" s="135">
        <f>($G62*Assumptions!AO68)*(1+'Cost Buildup'!$H62)^(AO$3-1)</f>
        <v>994.48162498532315</v>
      </c>
      <c r="AP62" s="135">
        <f>($G62*Assumptions!AP68)*(1+'Cost Buildup'!$H62)^(AP$3-1)</f>
        <v>994.48162498532315</v>
      </c>
      <c r="AQ62" s="135">
        <f>($G62*Assumptions!AQ68)*(1+'Cost Buildup'!$H62)^(AQ$3-1)</f>
        <v>994.48162498532315</v>
      </c>
      <c r="AR62" s="135">
        <f>($G62*Assumptions!AR68)*(1+'Cost Buildup'!$H62)^(AR$3-1)</f>
        <v>994.48162498532315</v>
      </c>
      <c r="AS62" s="135">
        <f>($G62*Assumptions!AS68)*(1+'Cost Buildup'!$H62)^(AS$3-1)</f>
        <v>994.48162498532315</v>
      </c>
      <c r="AT62" s="135">
        <f>($G62*Assumptions!AT68)*(1+'Cost Buildup'!$H62)^(AT$3-1)</f>
        <v>994.48162498532315</v>
      </c>
      <c r="AU62" s="135">
        <f>($G62*Assumptions!AU68)*(1+'Cost Buildup'!$H62)^(AU$3-1)</f>
        <v>994.48162498532315</v>
      </c>
      <c r="AV62" s="135">
        <f>($G62*Assumptions!AV68)*(1+'Cost Buildup'!$H62)^(AV$3-1)</f>
        <v>994.48162498532315</v>
      </c>
      <c r="AW62" s="135">
        <f>($G62*Assumptions!AW68)*(1+'Cost Buildup'!$H62)^(AW$3-1)</f>
        <v>1093.9297874838558</v>
      </c>
      <c r="AX62" s="135">
        <f>($G62*Assumptions!AX68)*(1+'Cost Buildup'!$H62)^(AX$3-1)</f>
        <v>1093.9297874838558</v>
      </c>
      <c r="AY62" s="135">
        <f>($G62*Assumptions!AY68)*(1+'Cost Buildup'!$H62)^(AY$3-1)</f>
        <v>1093.9297874838558</v>
      </c>
      <c r="AZ62" s="135">
        <f>($G62*Assumptions!AZ68)*(1+'Cost Buildup'!$H62)^(AZ$3-1)</f>
        <v>1093.9297874838558</v>
      </c>
      <c r="BA62" s="135">
        <f>($G62*Assumptions!BA68)*(1+'Cost Buildup'!$H62)^(BA$3-1)</f>
        <v>1093.9297874838558</v>
      </c>
      <c r="BB62" s="135">
        <f>($G62*Assumptions!BB68)*(1+'Cost Buildup'!$H62)^(BB$3-1)</f>
        <v>1093.9297874838558</v>
      </c>
      <c r="BC62" s="135">
        <f>($G62*Assumptions!BC68)*(1+'Cost Buildup'!$H62)^(BC$3-1)</f>
        <v>1093.9297874838558</v>
      </c>
      <c r="BD62" s="135">
        <f>($G62*Assumptions!BD68)*(1+'Cost Buildup'!$H62)^(BD$3-1)</f>
        <v>1093.9297874838558</v>
      </c>
      <c r="BE62" s="135">
        <f>($G62*Assumptions!BE68)*(1+'Cost Buildup'!$H62)^(BE$3-1)</f>
        <v>1093.9297874838558</v>
      </c>
      <c r="BF62" s="135">
        <f>($G62*Assumptions!BF68)*(1+'Cost Buildup'!$H62)^(BF$3-1)</f>
        <v>1093.9297874838558</v>
      </c>
      <c r="BG62" s="135">
        <f>($G62*Assumptions!BG68)*(1+'Cost Buildup'!$H62)^(BG$3-1)</f>
        <v>1093.9297874838558</v>
      </c>
      <c r="BH62" s="135">
        <f>($G62*Assumptions!BH68)*(1+'Cost Buildup'!$H62)^(BH$3-1)</f>
        <v>1093.9297874838558</v>
      </c>
      <c r="BI62" s="135">
        <f>($G62*Assumptions!BI68)*(1+'Cost Buildup'!$H62)^(BI$3-1)</f>
        <v>1203.3227662322411</v>
      </c>
      <c r="BJ62" s="135">
        <f>($G62*Assumptions!BJ68)*(1+'Cost Buildup'!$H62)^(BJ$3-1)</f>
        <v>1203.3227662322411</v>
      </c>
      <c r="BK62" s="135">
        <f>($G62*Assumptions!BK68)*(1+'Cost Buildup'!$H62)^(BK$3-1)</f>
        <v>1203.3227662322411</v>
      </c>
      <c r="BL62" s="135">
        <f>($G62*Assumptions!BL68)*(1+'Cost Buildup'!$H62)^(BL$3-1)</f>
        <v>1203.3227662322411</v>
      </c>
      <c r="BM62" s="135">
        <f>($G62*Assumptions!BM68)*(1+'Cost Buildup'!$H62)^(BM$3-1)</f>
        <v>1203.3227662322411</v>
      </c>
      <c r="BN62" s="135">
        <f>($G62*Assumptions!BN68)*(1+'Cost Buildup'!$H62)^(BN$3-1)</f>
        <v>1203.3227662322411</v>
      </c>
      <c r="BO62" s="135">
        <f>($G62*Assumptions!BO68)*(1+'Cost Buildup'!$H62)^(BO$3-1)</f>
        <v>1203.3227662322411</v>
      </c>
      <c r="BP62" s="135">
        <f>($G62*Assumptions!BP68)*(1+'Cost Buildup'!$H62)^(BP$3-1)</f>
        <v>1203.3227662322411</v>
      </c>
      <c r="BQ62" s="135">
        <f>($G62*Assumptions!BQ68)*(1+'Cost Buildup'!$H62)^(BQ$3-1)</f>
        <v>1203.3227662322411</v>
      </c>
      <c r="BR62" s="135">
        <f>($G62*Assumptions!BR68)*(1+'Cost Buildup'!$H62)^(BR$3-1)</f>
        <v>2406.6455324644821</v>
      </c>
      <c r="BS62" s="135">
        <f>($G62*Assumptions!BS68)*(1+'Cost Buildup'!$H62)^(BS$3-1)</f>
        <v>2406.6455324644821</v>
      </c>
      <c r="BT62" s="135">
        <f>($G62*Assumptions!BT68)*(1+'Cost Buildup'!$H62)^(BT$3-1)</f>
        <v>2406.6455324644821</v>
      </c>
      <c r="BU62" s="35"/>
      <c r="BV62" s="145"/>
      <c r="BW62" s="145"/>
      <c r="BX62" s="145"/>
      <c r="BY62" s="145"/>
      <c r="BZ62" s="145"/>
    </row>
    <row r="63" spans="1:78">
      <c r="A63" s="144" t="str">
        <f>Assumptions!A69</f>
        <v>Infra Er</v>
      </c>
      <c r="F63" s="144" t="str">
        <f>Assumptions!F69</f>
        <v>Monthly Salary</v>
      </c>
      <c r="G63" s="135">
        <f>Assumptions!G69</f>
        <v>1408.9468122578401</v>
      </c>
      <c r="H63" s="180">
        <f>Assumptions!H69</f>
        <v>0.1</v>
      </c>
      <c r="I63" s="144" t="str">
        <f>Assumptions!I69</f>
        <v>Annual Increment</v>
      </c>
      <c r="M63" s="135">
        <f>($G63*Assumptions!M69)*(1+'Cost Buildup'!$H63)^(M$3-1)</f>
        <v>1408.9468122578401</v>
      </c>
      <c r="N63" s="135">
        <f>($G63*Assumptions!N69)*(1+'Cost Buildup'!$H63)^(N$3-1)</f>
        <v>1408.9468122578401</v>
      </c>
      <c r="O63" s="135">
        <f>($G63*Assumptions!O69)*(1+'Cost Buildup'!$H63)^(O$3-1)</f>
        <v>1408.9468122578401</v>
      </c>
      <c r="P63" s="135">
        <f>($G63*Assumptions!P69)*(1+'Cost Buildup'!$H63)^(P$3-1)</f>
        <v>1408.9468122578401</v>
      </c>
      <c r="Q63" s="135">
        <f>($G63*Assumptions!Q69)*(1+'Cost Buildup'!$H63)^(Q$3-1)</f>
        <v>1408.9468122578401</v>
      </c>
      <c r="R63" s="135">
        <f>($G63*Assumptions!R69)*(1+'Cost Buildup'!$H63)^(R$3-1)</f>
        <v>1408.9468122578401</v>
      </c>
      <c r="S63" s="135">
        <f>($G63*Assumptions!S69)*(1+'Cost Buildup'!$H63)^(S$3-1)</f>
        <v>1408.9468122578401</v>
      </c>
      <c r="T63" s="135">
        <f>($G63*Assumptions!T69)*(1+'Cost Buildup'!$H63)^(T$3-1)</f>
        <v>1408.9468122578401</v>
      </c>
      <c r="U63" s="135">
        <f>($G63*Assumptions!U69)*(1+'Cost Buildup'!$H63)^(U$3-1)</f>
        <v>1408.9468122578401</v>
      </c>
      <c r="V63" s="135">
        <f>($G63*Assumptions!V69)*(1+'Cost Buildup'!$H63)^(V$3-1)</f>
        <v>1408.9468122578401</v>
      </c>
      <c r="W63" s="135">
        <f>($G63*Assumptions!W69)*(1+'Cost Buildup'!$H63)^(W$3-1)</f>
        <v>1408.9468122578401</v>
      </c>
      <c r="X63" s="135">
        <f>($G63*Assumptions!X69)*(1+'Cost Buildup'!$H63)^(X$3-1)</f>
        <v>1408.9468122578401</v>
      </c>
      <c r="Y63" s="135">
        <f>($G63*Assumptions!Y69)*(1+'Cost Buildup'!$H63)^(Y$3-1)</f>
        <v>1549.8414934836242</v>
      </c>
      <c r="Z63" s="135">
        <f>($G63*Assumptions!Z69)*(1+'Cost Buildup'!$H63)^(Z$3-1)</f>
        <v>1549.8414934836242</v>
      </c>
      <c r="AA63" s="135">
        <f>($G63*Assumptions!AA69)*(1+'Cost Buildup'!$H63)^(AA$3-1)</f>
        <v>1549.8414934836242</v>
      </c>
      <c r="AB63" s="135">
        <f>($G63*Assumptions!AB69)*(1+'Cost Buildup'!$H63)^(AB$3-1)</f>
        <v>1549.8414934836242</v>
      </c>
      <c r="AC63" s="135">
        <f>($G63*Assumptions!AC69)*(1+'Cost Buildup'!$H63)^(AC$3-1)</f>
        <v>1549.8414934836242</v>
      </c>
      <c r="AD63" s="135">
        <f>($G63*Assumptions!AD69)*(1+'Cost Buildup'!$H63)^(AD$3-1)</f>
        <v>1549.8414934836242</v>
      </c>
      <c r="AE63" s="135">
        <f>($G63*Assumptions!AE69)*(1+'Cost Buildup'!$H63)^(AE$3-1)</f>
        <v>1549.8414934836242</v>
      </c>
      <c r="AF63" s="135">
        <f>($G63*Assumptions!AF69)*(1+'Cost Buildup'!$H63)^(AF$3-1)</f>
        <v>1549.8414934836242</v>
      </c>
      <c r="AG63" s="135">
        <f>($G63*Assumptions!AG69)*(1+'Cost Buildup'!$H63)^(AG$3-1)</f>
        <v>1549.8414934836242</v>
      </c>
      <c r="AH63" s="135">
        <f>($G63*Assumptions!AH69)*(1+'Cost Buildup'!$H63)^(AH$3-1)</f>
        <v>1549.8414934836242</v>
      </c>
      <c r="AI63" s="135">
        <f>($G63*Assumptions!AI69)*(1+'Cost Buildup'!$H63)^(AI$3-1)</f>
        <v>1549.8414934836242</v>
      </c>
      <c r="AJ63" s="135">
        <f>($G63*Assumptions!AJ69)*(1+'Cost Buildup'!$H63)^(AJ$3-1)</f>
        <v>1549.8414934836242</v>
      </c>
      <c r="AK63" s="135">
        <f>($G63*Assumptions!AK69)*(1+'Cost Buildup'!$H63)^(AK$3-1)</f>
        <v>1704.8256428319867</v>
      </c>
      <c r="AL63" s="135">
        <f>($G63*Assumptions!AL69)*(1+'Cost Buildup'!$H63)^(AL$3-1)</f>
        <v>1704.8256428319867</v>
      </c>
      <c r="AM63" s="135">
        <f>($G63*Assumptions!AM69)*(1+'Cost Buildup'!$H63)^(AM$3-1)</f>
        <v>1704.8256428319867</v>
      </c>
      <c r="AN63" s="135">
        <f>($G63*Assumptions!AN69)*(1+'Cost Buildup'!$H63)^(AN$3-1)</f>
        <v>1704.8256428319867</v>
      </c>
      <c r="AO63" s="135">
        <f>($G63*Assumptions!AO69)*(1+'Cost Buildup'!$H63)^(AO$3-1)</f>
        <v>1704.8256428319867</v>
      </c>
      <c r="AP63" s="135">
        <f>($G63*Assumptions!AP69)*(1+'Cost Buildup'!$H63)^(AP$3-1)</f>
        <v>1704.8256428319867</v>
      </c>
      <c r="AQ63" s="135">
        <f>($G63*Assumptions!AQ69)*(1+'Cost Buildup'!$H63)^(AQ$3-1)</f>
        <v>1704.8256428319867</v>
      </c>
      <c r="AR63" s="135">
        <f>($G63*Assumptions!AR69)*(1+'Cost Buildup'!$H63)^(AR$3-1)</f>
        <v>1704.8256428319867</v>
      </c>
      <c r="AS63" s="135">
        <f>($G63*Assumptions!AS69)*(1+'Cost Buildup'!$H63)^(AS$3-1)</f>
        <v>1704.8256428319867</v>
      </c>
      <c r="AT63" s="135">
        <f>($G63*Assumptions!AT69)*(1+'Cost Buildup'!$H63)^(AT$3-1)</f>
        <v>1704.8256428319867</v>
      </c>
      <c r="AU63" s="135">
        <f>($G63*Assumptions!AU69)*(1+'Cost Buildup'!$H63)^(AU$3-1)</f>
        <v>1704.8256428319867</v>
      </c>
      <c r="AV63" s="135">
        <f>($G63*Assumptions!AV69)*(1+'Cost Buildup'!$H63)^(AV$3-1)</f>
        <v>1704.8256428319867</v>
      </c>
      <c r="AW63" s="135">
        <f>($G63*Assumptions!AW69)*(1+'Cost Buildup'!$H63)^(AW$3-1)</f>
        <v>1875.3082071151857</v>
      </c>
      <c r="AX63" s="135">
        <f>($G63*Assumptions!AX69)*(1+'Cost Buildup'!$H63)^(AX$3-1)</f>
        <v>1875.3082071151857</v>
      </c>
      <c r="AY63" s="135">
        <f>($G63*Assumptions!AY69)*(1+'Cost Buildup'!$H63)^(AY$3-1)</f>
        <v>1875.3082071151857</v>
      </c>
      <c r="AZ63" s="135">
        <f>($G63*Assumptions!AZ69)*(1+'Cost Buildup'!$H63)^(AZ$3-1)</f>
        <v>1875.3082071151857</v>
      </c>
      <c r="BA63" s="135">
        <f>($G63*Assumptions!BA69)*(1+'Cost Buildup'!$H63)^(BA$3-1)</f>
        <v>1875.3082071151857</v>
      </c>
      <c r="BB63" s="135">
        <f>($G63*Assumptions!BB69)*(1+'Cost Buildup'!$H63)^(BB$3-1)</f>
        <v>1875.3082071151857</v>
      </c>
      <c r="BC63" s="135">
        <f>($G63*Assumptions!BC69)*(1+'Cost Buildup'!$H63)^(BC$3-1)</f>
        <v>1875.3082071151857</v>
      </c>
      <c r="BD63" s="135">
        <f>($G63*Assumptions!BD69)*(1+'Cost Buildup'!$H63)^(BD$3-1)</f>
        <v>1875.3082071151857</v>
      </c>
      <c r="BE63" s="135">
        <f>($G63*Assumptions!BE69)*(1+'Cost Buildup'!$H63)^(BE$3-1)</f>
        <v>1875.3082071151857</v>
      </c>
      <c r="BF63" s="135">
        <f>($G63*Assumptions!BF69)*(1+'Cost Buildup'!$H63)^(BF$3-1)</f>
        <v>1875.3082071151857</v>
      </c>
      <c r="BG63" s="135">
        <f>($G63*Assumptions!BG69)*(1+'Cost Buildup'!$H63)^(BG$3-1)</f>
        <v>1875.3082071151857</v>
      </c>
      <c r="BH63" s="135">
        <f>($G63*Assumptions!BH69)*(1+'Cost Buildup'!$H63)^(BH$3-1)</f>
        <v>1875.3082071151857</v>
      </c>
      <c r="BI63" s="135">
        <f>($G63*Assumptions!BI69)*(1+'Cost Buildup'!$H63)^(BI$3-1)</f>
        <v>2062.8390278267043</v>
      </c>
      <c r="BJ63" s="135">
        <f>($G63*Assumptions!BJ69)*(1+'Cost Buildup'!$H63)^(BJ$3-1)</f>
        <v>2062.8390278267043</v>
      </c>
      <c r="BK63" s="135">
        <f>($G63*Assumptions!BK69)*(1+'Cost Buildup'!$H63)^(BK$3-1)</f>
        <v>2062.8390278267043</v>
      </c>
      <c r="BL63" s="135">
        <f>($G63*Assumptions!BL69)*(1+'Cost Buildup'!$H63)^(BL$3-1)</f>
        <v>2062.8390278267043</v>
      </c>
      <c r="BM63" s="135">
        <f>($G63*Assumptions!BM69)*(1+'Cost Buildup'!$H63)^(BM$3-1)</f>
        <v>2062.8390278267043</v>
      </c>
      <c r="BN63" s="135">
        <f>($G63*Assumptions!BN69)*(1+'Cost Buildup'!$H63)^(BN$3-1)</f>
        <v>2062.8390278267043</v>
      </c>
      <c r="BO63" s="135">
        <f>($G63*Assumptions!BO69)*(1+'Cost Buildup'!$H63)^(BO$3-1)</f>
        <v>2062.8390278267043</v>
      </c>
      <c r="BP63" s="135">
        <f>($G63*Assumptions!BP69)*(1+'Cost Buildup'!$H63)^(BP$3-1)</f>
        <v>2062.8390278267043</v>
      </c>
      <c r="BQ63" s="135">
        <f>($G63*Assumptions!BQ69)*(1+'Cost Buildup'!$H63)^(BQ$3-1)</f>
        <v>2062.8390278267043</v>
      </c>
      <c r="BR63" s="135">
        <f>($G63*Assumptions!BR69)*(1+'Cost Buildup'!$H63)^(BR$3-1)</f>
        <v>4125.6780556534086</v>
      </c>
      <c r="BS63" s="135">
        <f>($G63*Assumptions!BS69)*(1+'Cost Buildup'!$H63)^(BS$3-1)</f>
        <v>4125.6780556534086</v>
      </c>
      <c r="BT63" s="135">
        <f>($G63*Assumptions!BT69)*(1+'Cost Buildup'!$H63)^(BT$3-1)</f>
        <v>4125.6780556534086</v>
      </c>
      <c r="BU63" s="35"/>
      <c r="BV63" s="145"/>
      <c r="BW63" s="145"/>
      <c r="BX63" s="145"/>
      <c r="BY63" s="145"/>
      <c r="BZ63" s="145"/>
    </row>
    <row r="64" spans="1:78">
      <c r="A64" s="144" t="str">
        <f>Assumptions!A70</f>
        <v>Jr. Infra Er</v>
      </c>
      <c r="F64" s="144" t="str">
        <f>Assumptions!F70</f>
        <v>Monthly Salary</v>
      </c>
      <c r="G64" s="135">
        <f>Assumptions!G70</f>
        <v>763.17952330632897</v>
      </c>
      <c r="H64" s="180">
        <f>Assumptions!H70</f>
        <v>0.1</v>
      </c>
      <c r="I64" s="144" t="str">
        <f>Assumptions!I70</f>
        <v>Annual Increment</v>
      </c>
      <c r="M64" s="135">
        <f>($G64*Assumptions!M70)*(1+'Cost Buildup'!$H64)^(M$3-1)</f>
        <v>763.17952330632897</v>
      </c>
      <c r="N64" s="135">
        <f>($G64*Assumptions!N70)*(1+'Cost Buildup'!$H64)^(N$3-1)</f>
        <v>763.17952330632897</v>
      </c>
      <c r="O64" s="135">
        <f>($G64*Assumptions!O70)*(1+'Cost Buildup'!$H64)^(O$3-1)</f>
        <v>763.17952330632897</v>
      </c>
      <c r="P64" s="135">
        <f>($G64*Assumptions!P70)*(1+'Cost Buildup'!$H64)^(P$3-1)</f>
        <v>763.17952330632897</v>
      </c>
      <c r="Q64" s="135">
        <f>($G64*Assumptions!Q70)*(1+'Cost Buildup'!$H64)^(Q$3-1)</f>
        <v>763.17952330632897</v>
      </c>
      <c r="R64" s="135">
        <f>($G64*Assumptions!R70)*(1+'Cost Buildup'!$H64)^(R$3-1)</f>
        <v>763.17952330632897</v>
      </c>
      <c r="S64" s="135">
        <f>($G64*Assumptions!S70)*(1+'Cost Buildup'!$H64)^(S$3-1)</f>
        <v>763.17952330632897</v>
      </c>
      <c r="T64" s="135">
        <f>($G64*Assumptions!T70)*(1+'Cost Buildup'!$H64)^(T$3-1)</f>
        <v>763.17952330632897</v>
      </c>
      <c r="U64" s="135">
        <f>($G64*Assumptions!U70)*(1+'Cost Buildup'!$H64)^(U$3-1)</f>
        <v>763.17952330632897</v>
      </c>
      <c r="V64" s="135">
        <f>($G64*Assumptions!V70)*(1+'Cost Buildup'!$H64)^(V$3-1)</f>
        <v>763.17952330632897</v>
      </c>
      <c r="W64" s="135">
        <f>($G64*Assumptions!W70)*(1+'Cost Buildup'!$H64)^(W$3-1)</f>
        <v>763.17952330632897</v>
      </c>
      <c r="X64" s="135">
        <f>($G64*Assumptions!X70)*(1+'Cost Buildup'!$H64)^(X$3-1)</f>
        <v>763.17952330632897</v>
      </c>
      <c r="Y64" s="135">
        <f>($G64*Assumptions!Y70)*(1+'Cost Buildup'!$H64)^(Y$3-1)</f>
        <v>839.49747563696189</v>
      </c>
      <c r="Z64" s="135">
        <f>($G64*Assumptions!Z70)*(1+'Cost Buildup'!$H64)^(Z$3-1)</f>
        <v>839.49747563696189</v>
      </c>
      <c r="AA64" s="135">
        <f>($G64*Assumptions!AA70)*(1+'Cost Buildup'!$H64)^(AA$3-1)</f>
        <v>839.49747563696189</v>
      </c>
      <c r="AB64" s="135">
        <f>($G64*Assumptions!AB70)*(1+'Cost Buildup'!$H64)^(AB$3-1)</f>
        <v>839.49747563696189</v>
      </c>
      <c r="AC64" s="135">
        <f>($G64*Assumptions!AC70)*(1+'Cost Buildup'!$H64)^(AC$3-1)</f>
        <v>839.49747563696189</v>
      </c>
      <c r="AD64" s="135">
        <f>($G64*Assumptions!AD70)*(1+'Cost Buildup'!$H64)^(AD$3-1)</f>
        <v>839.49747563696189</v>
      </c>
      <c r="AE64" s="135">
        <f>($G64*Assumptions!AE70)*(1+'Cost Buildup'!$H64)^(AE$3-1)</f>
        <v>839.49747563696189</v>
      </c>
      <c r="AF64" s="135">
        <f>($G64*Assumptions!AF70)*(1+'Cost Buildup'!$H64)^(AF$3-1)</f>
        <v>839.49747563696189</v>
      </c>
      <c r="AG64" s="135">
        <f>($G64*Assumptions!AG70)*(1+'Cost Buildup'!$H64)^(AG$3-1)</f>
        <v>839.49747563696189</v>
      </c>
      <c r="AH64" s="135">
        <f>($G64*Assumptions!AH70)*(1+'Cost Buildup'!$H64)^(AH$3-1)</f>
        <v>839.49747563696189</v>
      </c>
      <c r="AI64" s="135">
        <f>($G64*Assumptions!AI70)*(1+'Cost Buildup'!$H64)^(AI$3-1)</f>
        <v>839.49747563696189</v>
      </c>
      <c r="AJ64" s="135">
        <f>($G64*Assumptions!AJ70)*(1+'Cost Buildup'!$H64)^(AJ$3-1)</f>
        <v>839.49747563696189</v>
      </c>
      <c r="AK64" s="135">
        <f>($G64*Assumptions!AK70)*(1+'Cost Buildup'!$H64)^(AK$3-1)</f>
        <v>923.44722320065819</v>
      </c>
      <c r="AL64" s="135">
        <f>($G64*Assumptions!AL70)*(1+'Cost Buildup'!$H64)^(AL$3-1)</f>
        <v>923.44722320065819</v>
      </c>
      <c r="AM64" s="135">
        <f>($G64*Assumptions!AM70)*(1+'Cost Buildup'!$H64)^(AM$3-1)</f>
        <v>923.44722320065819</v>
      </c>
      <c r="AN64" s="135">
        <f>($G64*Assumptions!AN70)*(1+'Cost Buildup'!$H64)^(AN$3-1)</f>
        <v>923.44722320065819</v>
      </c>
      <c r="AO64" s="135">
        <f>($G64*Assumptions!AO70)*(1+'Cost Buildup'!$H64)^(AO$3-1)</f>
        <v>923.44722320065819</v>
      </c>
      <c r="AP64" s="135">
        <f>($G64*Assumptions!AP70)*(1+'Cost Buildup'!$H64)^(AP$3-1)</f>
        <v>923.44722320065819</v>
      </c>
      <c r="AQ64" s="135">
        <f>($G64*Assumptions!AQ70)*(1+'Cost Buildup'!$H64)^(AQ$3-1)</f>
        <v>923.44722320065819</v>
      </c>
      <c r="AR64" s="135">
        <f>($G64*Assumptions!AR70)*(1+'Cost Buildup'!$H64)^(AR$3-1)</f>
        <v>923.44722320065819</v>
      </c>
      <c r="AS64" s="135">
        <f>($G64*Assumptions!AS70)*(1+'Cost Buildup'!$H64)^(AS$3-1)</f>
        <v>923.44722320065819</v>
      </c>
      <c r="AT64" s="135">
        <f>($G64*Assumptions!AT70)*(1+'Cost Buildup'!$H64)^(AT$3-1)</f>
        <v>923.44722320065819</v>
      </c>
      <c r="AU64" s="135">
        <f>($G64*Assumptions!AU70)*(1+'Cost Buildup'!$H64)^(AU$3-1)</f>
        <v>923.44722320065819</v>
      </c>
      <c r="AV64" s="135">
        <f>($G64*Assumptions!AV70)*(1+'Cost Buildup'!$H64)^(AV$3-1)</f>
        <v>923.44722320065819</v>
      </c>
      <c r="AW64" s="135">
        <f>($G64*Assumptions!AW70)*(1+'Cost Buildup'!$H64)^(AW$3-1)</f>
        <v>1015.7919455207242</v>
      </c>
      <c r="AX64" s="135">
        <f>($G64*Assumptions!AX70)*(1+'Cost Buildup'!$H64)^(AX$3-1)</f>
        <v>1015.7919455207242</v>
      </c>
      <c r="AY64" s="135">
        <f>($G64*Assumptions!AY70)*(1+'Cost Buildup'!$H64)^(AY$3-1)</f>
        <v>1015.7919455207242</v>
      </c>
      <c r="AZ64" s="135">
        <f>($G64*Assumptions!AZ70)*(1+'Cost Buildup'!$H64)^(AZ$3-1)</f>
        <v>1015.7919455207242</v>
      </c>
      <c r="BA64" s="135">
        <f>($G64*Assumptions!BA70)*(1+'Cost Buildup'!$H64)^(BA$3-1)</f>
        <v>1015.7919455207242</v>
      </c>
      <c r="BB64" s="135">
        <f>($G64*Assumptions!BB70)*(1+'Cost Buildup'!$H64)^(BB$3-1)</f>
        <v>1015.7919455207242</v>
      </c>
      <c r="BC64" s="135">
        <f>($G64*Assumptions!BC70)*(1+'Cost Buildup'!$H64)^(BC$3-1)</f>
        <v>1015.7919455207242</v>
      </c>
      <c r="BD64" s="135">
        <f>($G64*Assumptions!BD70)*(1+'Cost Buildup'!$H64)^(BD$3-1)</f>
        <v>1015.7919455207242</v>
      </c>
      <c r="BE64" s="135">
        <f>($G64*Assumptions!BE70)*(1+'Cost Buildup'!$H64)^(BE$3-1)</f>
        <v>1015.7919455207242</v>
      </c>
      <c r="BF64" s="135">
        <f>($G64*Assumptions!BF70)*(1+'Cost Buildup'!$H64)^(BF$3-1)</f>
        <v>1015.7919455207242</v>
      </c>
      <c r="BG64" s="135">
        <f>($G64*Assumptions!BG70)*(1+'Cost Buildup'!$H64)^(BG$3-1)</f>
        <v>1015.7919455207242</v>
      </c>
      <c r="BH64" s="135">
        <f>($G64*Assumptions!BH70)*(1+'Cost Buildup'!$H64)^(BH$3-1)</f>
        <v>1015.7919455207242</v>
      </c>
      <c r="BI64" s="135">
        <f>($G64*Assumptions!BI70)*(1+'Cost Buildup'!$H64)^(BI$3-1)</f>
        <v>1117.3711400727966</v>
      </c>
      <c r="BJ64" s="135">
        <f>($G64*Assumptions!BJ70)*(1+'Cost Buildup'!$H64)^(BJ$3-1)</f>
        <v>1117.3711400727966</v>
      </c>
      <c r="BK64" s="135">
        <f>($G64*Assumptions!BK70)*(1+'Cost Buildup'!$H64)^(BK$3-1)</f>
        <v>1117.3711400727966</v>
      </c>
      <c r="BL64" s="135">
        <f>($G64*Assumptions!BL70)*(1+'Cost Buildup'!$H64)^(BL$3-1)</f>
        <v>1117.3711400727966</v>
      </c>
      <c r="BM64" s="135">
        <f>($G64*Assumptions!BM70)*(1+'Cost Buildup'!$H64)^(BM$3-1)</f>
        <v>1117.3711400727966</v>
      </c>
      <c r="BN64" s="135">
        <f>($G64*Assumptions!BN70)*(1+'Cost Buildup'!$H64)^(BN$3-1)</f>
        <v>1117.3711400727966</v>
      </c>
      <c r="BO64" s="135">
        <f>($G64*Assumptions!BO70)*(1+'Cost Buildup'!$H64)^(BO$3-1)</f>
        <v>1117.3711400727966</v>
      </c>
      <c r="BP64" s="135">
        <f>($G64*Assumptions!BP70)*(1+'Cost Buildup'!$H64)^(BP$3-1)</f>
        <v>1117.3711400727966</v>
      </c>
      <c r="BQ64" s="135">
        <f>($G64*Assumptions!BQ70)*(1+'Cost Buildup'!$H64)^(BQ$3-1)</f>
        <v>1117.3711400727966</v>
      </c>
      <c r="BR64" s="135">
        <f>($G64*Assumptions!BR70)*(1+'Cost Buildup'!$H64)^(BR$3-1)</f>
        <v>2234.7422801455932</v>
      </c>
      <c r="BS64" s="135">
        <f>($G64*Assumptions!BS70)*(1+'Cost Buildup'!$H64)^(BS$3-1)</f>
        <v>2234.7422801455932</v>
      </c>
      <c r="BT64" s="135">
        <f>($G64*Assumptions!BT70)*(1+'Cost Buildup'!$H64)^(BT$3-1)</f>
        <v>2234.7422801455932</v>
      </c>
      <c r="BU64" s="35"/>
      <c r="BV64" s="145"/>
      <c r="BW64" s="145"/>
      <c r="BX64" s="145"/>
      <c r="BY64" s="145"/>
      <c r="BZ64" s="145"/>
    </row>
    <row r="65" spans="1:78">
      <c r="A65" s="144" t="str">
        <f>Assumptions!A71</f>
        <v>Frontend Developer</v>
      </c>
      <c r="F65" s="144" t="str">
        <f>Assumptions!F71</f>
        <v>Monthly Salary</v>
      </c>
      <c r="G65" s="135">
        <f>Assumptions!G71</f>
        <v>1000</v>
      </c>
      <c r="H65" s="180">
        <f>Assumptions!H71</f>
        <v>0.1</v>
      </c>
      <c r="I65" s="144" t="str">
        <f>Assumptions!I71</f>
        <v>Annual Increment</v>
      </c>
      <c r="M65" s="135">
        <f>($G65*Assumptions!M71)*(1+'Cost Buildup'!$H65)^(M$3-1)</f>
        <v>1000</v>
      </c>
      <c r="N65" s="135">
        <f>($G65*Assumptions!N71)*(1+'Cost Buildup'!$H65)^(N$3-1)</f>
        <v>1000</v>
      </c>
      <c r="O65" s="135">
        <f>($G65*Assumptions!O71)*(1+'Cost Buildup'!$H65)^(O$3-1)</f>
        <v>1000</v>
      </c>
      <c r="P65" s="135">
        <f>($G65*Assumptions!P71)*(1+'Cost Buildup'!$H65)^(P$3-1)</f>
        <v>1000</v>
      </c>
      <c r="Q65" s="135">
        <f>($G65*Assumptions!Q71)*(1+'Cost Buildup'!$H65)^(Q$3-1)</f>
        <v>1000</v>
      </c>
      <c r="R65" s="135">
        <f>($G65*Assumptions!R71)*(1+'Cost Buildup'!$H65)^(R$3-1)</f>
        <v>1000</v>
      </c>
      <c r="S65" s="135">
        <f>($G65*Assumptions!S71)*(1+'Cost Buildup'!$H65)^(S$3-1)</f>
        <v>1000</v>
      </c>
      <c r="T65" s="135">
        <f>($G65*Assumptions!T71)*(1+'Cost Buildup'!$H65)^(T$3-1)</f>
        <v>1000</v>
      </c>
      <c r="U65" s="135">
        <f>($G65*Assumptions!U71)*(1+'Cost Buildup'!$H65)^(U$3-1)</f>
        <v>1000</v>
      </c>
      <c r="V65" s="135">
        <f>($G65*Assumptions!V71)*(1+'Cost Buildup'!$H65)^(V$3-1)</f>
        <v>1000</v>
      </c>
      <c r="W65" s="135">
        <f>($G65*Assumptions!W71)*(1+'Cost Buildup'!$H65)^(W$3-1)</f>
        <v>1000</v>
      </c>
      <c r="X65" s="135">
        <f>($G65*Assumptions!X71)*(1+'Cost Buildup'!$H65)^(X$3-1)</f>
        <v>1000</v>
      </c>
      <c r="Y65" s="135">
        <f>($G65*Assumptions!Y71)*(1+'Cost Buildup'!$H65)^(Y$3-1)</f>
        <v>1100</v>
      </c>
      <c r="Z65" s="135">
        <f>($G65*Assumptions!Z71)*(1+'Cost Buildup'!$H65)^(Z$3-1)</f>
        <v>1100</v>
      </c>
      <c r="AA65" s="135">
        <f>($G65*Assumptions!AA71)*(1+'Cost Buildup'!$H65)^(AA$3-1)</f>
        <v>1100</v>
      </c>
      <c r="AB65" s="135">
        <f>($G65*Assumptions!AB71)*(1+'Cost Buildup'!$H65)^(AB$3-1)</f>
        <v>1100</v>
      </c>
      <c r="AC65" s="135">
        <f>($G65*Assumptions!AC71)*(1+'Cost Buildup'!$H65)^(AC$3-1)</f>
        <v>1100</v>
      </c>
      <c r="AD65" s="135">
        <f>($G65*Assumptions!AD71)*(1+'Cost Buildup'!$H65)^(AD$3-1)</f>
        <v>1100</v>
      </c>
      <c r="AE65" s="135">
        <f>($G65*Assumptions!AE71)*(1+'Cost Buildup'!$H65)^(AE$3-1)</f>
        <v>1100</v>
      </c>
      <c r="AF65" s="135">
        <f>($G65*Assumptions!AF71)*(1+'Cost Buildup'!$H65)^(AF$3-1)</f>
        <v>1100</v>
      </c>
      <c r="AG65" s="135">
        <f>($G65*Assumptions!AG71)*(1+'Cost Buildup'!$H65)^(AG$3-1)</f>
        <v>1100</v>
      </c>
      <c r="AH65" s="135">
        <f>($G65*Assumptions!AH71)*(1+'Cost Buildup'!$H65)^(AH$3-1)</f>
        <v>1100</v>
      </c>
      <c r="AI65" s="135">
        <f>($G65*Assumptions!AI71)*(1+'Cost Buildup'!$H65)^(AI$3-1)</f>
        <v>1100</v>
      </c>
      <c r="AJ65" s="135">
        <f>($G65*Assumptions!AJ71)*(1+'Cost Buildup'!$H65)^(AJ$3-1)</f>
        <v>1100</v>
      </c>
      <c r="AK65" s="135">
        <f>($G65*Assumptions!AK71)*(1+'Cost Buildup'!$H65)^(AK$3-1)</f>
        <v>1210.0000000000002</v>
      </c>
      <c r="AL65" s="135">
        <f>($G65*Assumptions!AL71)*(1+'Cost Buildup'!$H65)^(AL$3-1)</f>
        <v>1210.0000000000002</v>
      </c>
      <c r="AM65" s="135">
        <f>($G65*Assumptions!AM71)*(1+'Cost Buildup'!$H65)^(AM$3-1)</f>
        <v>1210.0000000000002</v>
      </c>
      <c r="AN65" s="135">
        <f>($G65*Assumptions!AN71)*(1+'Cost Buildup'!$H65)^(AN$3-1)</f>
        <v>1210.0000000000002</v>
      </c>
      <c r="AO65" s="135">
        <f>($G65*Assumptions!AO71)*(1+'Cost Buildup'!$H65)^(AO$3-1)</f>
        <v>1210.0000000000002</v>
      </c>
      <c r="AP65" s="135">
        <f>($G65*Assumptions!AP71)*(1+'Cost Buildup'!$H65)^(AP$3-1)</f>
        <v>1210.0000000000002</v>
      </c>
      <c r="AQ65" s="135">
        <f>($G65*Assumptions!AQ71)*(1+'Cost Buildup'!$H65)^(AQ$3-1)</f>
        <v>1210.0000000000002</v>
      </c>
      <c r="AR65" s="135">
        <f>($G65*Assumptions!AR71)*(1+'Cost Buildup'!$H65)^(AR$3-1)</f>
        <v>1210.0000000000002</v>
      </c>
      <c r="AS65" s="135">
        <f>($G65*Assumptions!AS71)*(1+'Cost Buildup'!$H65)^(AS$3-1)</f>
        <v>1210.0000000000002</v>
      </c>
      <c r="AT65" s="135">
        <f>($G65*Assumptions!AT71)*(1+'Cost Buildup'!$H65)^(AT$3-1)</f>
        <v>1210.0000000000002</v>
      </c>
      <c r="AU65" s="135">
        <f>($G65*Assumptions!AU71)*(1+'Cost Buildup'!$H65)^(AU$3-1)</f>
        <v>1210.0000000000002</v>
      </c>
      <c r="AV65" s="135">
        <f>($G65*Assumptions!AV71)*(1+'Cost Buildup'!$H65)^(AV$3-1)</f>
        <v>1210.0000000000002</v>
      </c>
      <c r="AW65" s="135">
        <f>($G65*Assumptions!AW71)*(1+'Cost Buildup'!$H65)^(AW$3-1)</f>
        <v>1331.0000000000005</v>
      </c>
      <c r="AX65" s="135">
        <f>($G65*Assumptions!AX71)*(1+'Cost Buildup'!$H65)^(AX$3-1)</f>
        <v>1331.0000000000005</v>
      </c>
      <c r="AY65" s="135">
        <f>($G65*Assumptions!AY71)*(1+'Cost Buildup'!$H65)^(AY$3-1)</f>
        <v>1331.0000000000005</v>
      </c>
      <c r="AZ65" s="135">
        <f>($G65*Assumptions!AZ71)*(1+'Cost Buildup'!$H65)^(AZ$3-1)</f>
        <v>1331.0000000000005</v>
      </c>
      <c r="BA65" s="135">
        <f>($G65*Assumptions!BA71)*(1+'Cost Buildup'!$H65)^(BA$3-1)</f>
        <v>1331.0000000000005</v>
      </c>
      <c r="BB65" s="135">
        <f>($G65*Assumptions!BB71)*(1+'Cost Buildup'!$H65)^(BB$3-1)</f>
        <v>1331.0000000000005</v>
      </c>
      <c r="BC65" s="135">
        <f>($G65*Assumptions!BC71)*(1+'Cost Buildup'!$H65)^(BC$3-1)</f>
        <v>1331.0000000000005</v>
      </c>
      <c r="BD65" s="135">
        <f>($G65*Assumptions!BD71)*(1+'Cost Buildup'!$H65)^(BD$3-1)</f>
        <v>1331.0000000000005</v>
      </c>
      <c r="BE65" s="135">
        <f>($G65*Assumptions!BE71)*(1+'Cost Buildup'!$H65)^(BE$3-1)</f>
        <v>1331.0000000000005</v>
      </c>
      <c r="BF65" s="135">
        <f>($G65*Assumptions!BF71)*(1+'Cost Buildup'!$H65)^(BF$3-1)</f>
        <v>1331.0000000000005</v>
      </c>
      <c r="BG65" s="135">
        <f>($G65*Assumptions!BG71)*(1+'Cost Buildup'!$H65)^(BG$3-1)</f>
        <v>1331.0000000000005</v>
      </c>
      <c r="BH65" s="135">
        <f>($G65*Assumptions!BH71)*(1+'Cost Buildup'!$H65)^(BH$3-1)</f>
        <v>1331.0000000000005</v>
      </c>
      <c r="BI65" s="135">
        <f>($G65*Assumptions!BI71)*(1+'Cost Buildup'!$H65)^(BI$3-1)</f>
        <v>1464.1000000000004</v>
      </c>
      <c r="BJ65" s="135">
        <f>($G65*Assumptions!BJ71)*(1+'Cost Buildup'!$H65)^(BJ$3-1)</f>
        <v>1464.1000000000004</v>
      </c>
      <c r="BK65" s="135">
        <f>($G65*Assumptions!BK71)*(1+'Cost Buildup'!$H65)^(BK$3-1)</f>
        <v>1464.1000000000004</v>
      </c>
      <c r="BL65" s="135">
        <f>($G65*Assumptions!BL71)*(1+'Cost Buildup'!$H65)^(BL$3-1)</f>
        <v>1464.1000000000004</v>
      </c>
      <c r="BM65" s="135">
        <f>($G65*Assumptions!BM71)*(1+'Cost Buildup'!$H65)^(BM$3-1)</f>
        <v>1464.1000000000004</v>
      </c>
      <c r="BN65" s="135">
        <f>($G65*Assumptions!BN71)*(1+'Cost Buildup'!$H65)^(BN$3-1)</f>
        <v>1464.1000000000004</v>
      </c>
      <c r="BO65" s="135">
        <f>($G65*Assumptions!BO71)*(1+'Cost Buildup'!$H65)^(BO$3-1)</f>
        <v>1464.1000000000004</v>
      </c>
      <c r="BP65" s="135">
        <f>($G65*Assumptions!BP71)*(1+'Cost Buildup'!$H65)^(BP$3-1)</f>
        <v>1464.1000000000004</v>
      </c>
      <c r="BQ65" s="135">
        <f>($G65*Assumptions!BQ71)*(1+'Cost Buildup'!$H65)^(BQ$3-1)</f>
        <v>1464.1000000000004</v>
      </c>
      <c r="BR65" s="135">
        <f>($G65*Assumptions!BR71)*(1+'Cost Buildup'!$H65)^(BR$3-1)</f>
        <v>2928.2000000000007</v>
      </c>
      <c r="BS65" s="135">
        <f>($G65*Assumptions!BS71)*(1+'Cost Buildup'!$H65)^(BS$3-1)</f>
        <v>2928.2000000000007</v>
      </c>
      <c r="BT65" s="135">
        <f>($G65*Assumptions!BT71)*(1+'Cost Buildup'!$H65)^(BT$3-1)</f>
        <v>2928.2000000000007</v>
      </c>
      <c r="BU65" s="35"/>
      <c r="BV65" s="145"/>
      <c r="BW65" s="145"/>
      <c r="BX65" s="145"/>
      <c r="BY65" s="145"/>
      <c r="BZ65" s="145"/>
    </row>
    <row r="66" spans="1:78">
      <c r="A66" s="144" t="str">
        <f>Assumptions!A72</f>
        <v>Backend Developer</v>
      </c>
      <c r="F66" s="144" t="str">
        <f>Assumptions!F72</f>
        <v>Monthly Salary</v>
      </c>
      <c r="G66" s="135">
        <f>Assumptions!G72</f>
        <v>1000</v>
      </c>
      <c r="H66" s="180">
        <f>Assumptions!H72</f>
        <v>0.1</v>
      </c>
      <c r="I66" s="144" t="str">
        <f>Assumptions!I72</f>
        <v>Annual Increment</v>
      </c>
      <c r="M66" s="135">
        <f>($G66*Assumptions!M72)*(1+'Cost Buildup'!$H66)^(M$3-1)</f>
        <v>1000</v>
      </c>
      <c r="N66" s="135">
        <f>($G66*Assumptions!N72)*(1+'Cost Buildup'!$H66)^(N$3-1)</f>
        <v>1000</v>
      </c>
      <c r="O66" s="135">
        <f>($G66*Assumptions!O72)*(1+'Cost Buildup'!$H66)^(O$3-1)</f>
        <v>1000</v>
      </c>
      <c r="P66" s="135">
        <f>($G66*Assumptions!P72)*(1+'Cost Buildup'!$H66)^(P$3-1)</f>
        <v>1000</v>
      </c>
      <c r="Q66" s="135">
        <f>($G66*Assumptions!Q72)*(1+'Cost Buildup'!$H66)^(Q$3-1)</f>
        <v>1000</v>
      </c>
      <c r="R66" s="135">
        <f>($G66*Assumptions!R72)*(1+'Cost Buildup'!$H66)^(R$3-1)</f>
        <v>1000</v>
      </c>
      <c r="S66" s="135">
        <f>($G66*Assumptions!S72)*(1+'Cost Buildup'!$H66)^(S$3-1)</f>
        <v>1000</v>
      </c>
      <c r="T66" s="135">
        <f>($G66*Assumptions!T72)*(1+'Cost Buildup'!$H66)^(T$3-1)</f>
        <v>1000</v>
      </c>
      <c r="U66" s="135">
        <f>($G66*Assumptions!U72)*(1+'Cost Buildup'!$H66)^(U$3-1)</f>
        <v>1000</v>
      </c>
      <c r="V66" s="135">
        <f>($G66*Assumptions!V72)*(1+'Cost Buildup'!$H66)^(V$3-1)</f>
        <v>1000</v>
      </c>
      <c r="W66" s="135">
        <f>($G66*Assumptions!W72)*(1+'Cost Buildup'!$H66)^(W$3-1)</f>
        <v>1000</v>
      </c>
      <c r="X66" s="135">
        <f>($G66*Assumptions!X72)*(1+'Cost Buildup'!$H66)^(X$3-1)</f>
        <v>1000</v>
      </c>
      <c r="Y66" s="135">
        <f>($G66*Assumptions!Y72)*(1+'Cost Buildup'!$H66)^(Y$3-1)</f>
        <v>1100</v>
      </c>
      <c r="Z66" s="135">
        <f>($G66*Assumptions!Z72)*(1+'Cost Buildup'!$H66)^(Z$3-1)</f>
        <v>1100</v>
      </c>
      <c r="AA66" s="135">
        <f>($G66*Assumptions!AA72)*(1+'Cost Buildup'!$H66)^(AA$3-1)</f>
        <v>1100</v>
      </c>
      <c r="AB66" s="135">
        <f>($G66*Assumptions!AB72)*(1+'Cost Buildup'!$H66)^(AB$3-1)</f>
        <v>1100</v>
      </c>
      <c r="AC66" s="135">
        <f>($G66*Assumptions!AC72)*(1+'Cost Buildup'!$H66)^(AC$3-1)</f>
        <v>1100</v>
      </c>
      <c r="AD66" s="135">
        <f>($G66*Assumptions!AD72)*(1+'Cost Buildup'!$H66)^(AD$3-1)</f>
        <v>1100</v>
      </c>
      <c r="AE66" s="135">
        <f>($G66*Assumptions!AE72)*(1+'Cost Buildup'!$H66)^(AE$3-1)</f>
        <v>1100</v>
      </c>
      <c r="AF66" s="135">
        <f>($G66*Assumptions!AF72)*(1+'Cost Buildup'!$H66)^(AF$3-1)</f>
        <v>1100</v>
      </c>
      <c r="AG66" s="135">
        <f>($G66*Assumptions!AG72)*(1+'Cost Buildup'!$H66)^(AG$3-1)</f>
        <v>1100</v>
      </c>
      <c r="AH66" s="135">
        <f>($G66*Assumptions!AH72)*(1+'Cost Buildup'!$H66)^(AH$3-1)</f>
        <v>1100</v>
      </c>
      <c r="AI66" s="135">
        <f>($G66*Assumptions!AI72)*(1+'Cost Buildup'!$H66)^(AI$3-1)</f>
        <v>1100</v>
      </c>
      <c r="AJ66" s="135">
        <f>($G66*Assumptions!AJ72)*(1+'Cost Buildup'!$H66)^(AJ$3-1)</f>
        <v>1100</v>
      </c>
      <c r="AK66" s="135">
        <f>($G66*Assumptions!AK72)*(1+'Cost Buildup'!$H66)^(AK$3-1)</f>
        <v>1210.0000000000002</v>
      </c>
      <c r="AL66" s="135">
        <f>($G66*Assumptions!AL72)*(1+'Cost Buildup'!$H66)^(AL$3-1)</f>
        <v>1210.0000000000002</v>
      </c>
      <c r="AM66" s="135">
        <f>($G66*Assumptions!AM72)*(1+'Cost Buildup'!$H66)^(AM$3-1)</f>
        <v>1210.0000000000002</v>
      </c>
      <c r="AN66" s="135">
        <f>($G66*Assumptions!AN72)*(1+'Cost Buildup'!$H66)^(AN$3-1)</f>
        <v>1210.0000000000002</v>
      </c>
      <c r="AO66" s="135">
        <f>($G66*Assumptions!AO72)*(1+'Cost Buildup'!$H66)^(AO$3-1)</f>
        <v>1210.0000000000002</v>
      </c>
      <c r="AP66" s="135">
        <f>($G66*Assumptions!AP72)*(1+'Cost Buildup'!$H66)^(AP$3-1)</f>
        <v>1210.0000000000002</v>
      </c>
      <c r="AQ66" s="135">
        <f>($G66*Assumptions!AQ72)*(1+'Cost Buildup'!$H66)^(AQ$3-1)</f>
        <v>1210.0000000000002</v>
      </c>
      <c r="AR66" s="135">
        <f>($G66*Assumptions!AR72)*(1+'Cost Buildup'!$H66)^(AR$3-1)</f>
        <v>1210.0000000000002</v>
      </c>
      <c r="AS66" s="135">
        <f>($G66*Assumptions!AS72)*(1+'Cost Buildup'!$H66)^(AS$3-1)</f>
        <v>1210.0000000000002</v>
      </c>
      <c r="AT66" s="135">
        <f>($G66*Assumptions!AT72)*(1+'Cost Buildup'!$H66)^(AT$3-1)</f>
        <v>1210.0000000000002</v>
      </c>
      <c r="AU66" s="135">
        <f>($G66*Assumptions!AU72)*(1+'Cost Buildup'!$H66)^(AU$3-1)</f>
        <v>1210.0000000000002</v>
      </c>
      <c r="AV66" s="135">
        <f>($G66*Assumptions!AV72)*(1+'Cost Buildup'!$H66)^(AV$3-1)</f>
        <v>1210.0000000000002</v>
      </c>
      <c r="AW66" s="135">
        <f>($G66*Assumptions!AW72)*(1+'Cost Buildup'!$H66)^(AW$3-1)</f>
        <v>1331.0000000000005</v>
      </c>
      <c r="AX66" s="135">
        <f>($G66*Assumptions!AX72)*(1+'Cost Buildup'!$H66)^(AX$3-1)</f>
        <v>1331.0000000000005</v>
      </c>
      <c r="AY66" s="135">
        <f>($G66*Assumptions!AY72)*(1+'Cost Buildup'!$H66)^(AY$3-1)</f>
        <v>1331.0000000000005</v>
      </c>
      <c r="AZ66" s="135">
        <f>($G66*Assumptions!AZ72)*(1+'Cost Buildup'!$H66)^(AZ$3-1)</f>
        <v>1331.0000000000005</v>
      </c>
      <c r="BA66" s="135">
        <f>($G66*Assumptions!BA72)*(1+'Cost Buildup'!$H66)^(BA$3-1)</f>
        <v>1331.0000000000005</v>
      </c>
      <c r="BB66" s="135">
        <f>($G66*Assumptions!BB72)*(1+'Cost Buildup'!$H66)^(BB$3-1)</f>
        <v>1331.0000000000005</v>
      </c>
      <c r="BC66" s="135">
        <f>($G66*Assumptions!BC72)*(1+'Cost Buildup'!$H66)^(BC$3-1)</f>
        <v>1331.0000000000005</v>
      </c>
      <c r="BD66" s="135">
        <f>($G66*Assumptions!BD72)*(1+'Cost Buildup'!$H66)^(BD$3-1)</f>
        <v>1331.0000000000005</v>
      </c>
      <c r="BE66" s="135">
        <f>($G66*Assumptions!BE72)*(1+'Cost Buildup'!$H66)^(BE$3-1)</f>
        <v>1331.0000000000005</v>
      </c>
      <c r="BF66" s="135">
        <f>($G66*Assumptions!BF72)*(1+'Cost Buildup'!$H66)^(BF$3-1)</f>
        <v>1331.0000000000005</v>
      </c>
      <c r="BG66" s="135">
        <f>($G66*Assumptions!BG72)*(1+'Cost Buildup'!$H66)^(BG$3-1)</f>
        <v>1331.0000000000005</v>
      </c>
      <c r="BH66" s="135">
        <f>($G66*Assumptions!BH72)*(1+'Cost Buildup'!$H66)^(BH$3-1)</f>
        <v>1331.0000000000005</v>
      </c>
      <c r="BI66" s="135">
        <f>($G66*Assumptions!BI72)*(1+'Cost Buildup'!$H66)^(BI$3-1)</f>
        <v>1464.1000000000004</v>
      </c>
      <c r="BJ66" s="135">
        <f>($G66*Assumptions!BJ72)*(1+'Cost Buildup'!$H66)^(BJ$3-1)</f>
        <v>1464.1000000000004</v>
      </c>
      <c r="BK66" s="135">
        <f>($G66*Assumptions!BK72)*(1+'Cost Buildup'!$H66)^(BK$3-1)</f>
        <v>1464.1000000000004</v>
      </c>
      <c r="BL66" s="135">
        <f>($G66*Assumptions!BL72)*(1+'Cost Buildup'!$H66)^(BL$3-1)</f>
        <v>1464.1000000000004</v>
      </c>
      <c r="BM66" s="135">
        <f>($G66*Assumptions!BM72)*(1+'Cost Buildup'!$H66)^(BM$3-1)</f>
        <v>1464.1000000000004</v>
      </c>
      <c r="BN66" s="135">
        <f>($G66*Assumptions!BN72)*(1+'Cost Buildup'!$H66)^(BN$3-1)</f>
        <v>1464.1000000000004</v>
      </c>
      <c r="BO66" s="135">
        <f>($G66*Assumptions!BO72)*(1+'Cost Buildup'!$H66)^(BO$3-1)</f>
        <v>1464.1000000000004</v>
      </c>
      <c r="BP66" s="135">
        <f>($G66*Assumptions!BP72)*(1+'Cost Buildup'!$H66)^(BP$3-1)</f>
        <v>1464.1000000000004</v>
      </c>
      <c r="BQ66" s="135">
        <f>($G66*Assumptions!BQ72)*(1+'Cost Buildup'!$H66)^(BQ$3-1)</f>
        <v>1464.1000000000004</v>
      </c>
      <c r="BR66" s="135">
        <f>($G66*Assumptions!BR72)*(1+'Cost Buildup'!$H66)^(BR$3-1)</f>
        <v>2928.2000000000007</v>
      </c>
      <c r="BS66" s="135">
        <f>($G66*Assumptions!BS72)*(1+'Cost Buildup'!$H66)^(BS$3-1)</f>
        <v>2928.2000000000007</v>
      </c>
      <c r="BT66" s="135">
        <f>($G66*Assumptions!BT72)*(1+'Cost Buildup'!$H66)^(BT$3-1)</f>
        <v>2928.2000000000007</v>
      </c>
      <c r="BU66" s="35"/>
      <c r="BV66" s="145"/>
      <c r="BW66" s="145"/>
      <c r="BX66" s="145"/>
      <c r="BY66" s="145"/>
      <c r="BZ66" s="145"/>
    </row>
    <row r="67" spans="1:78" ht="15.6">
      <c r="A67" s="67" t="s">
        <v>126</v>
      </c>
      <c r="M67" s="132">
        <f t="shared" ref="M67:AR67" si="37">SUM(M57:M66)</f>
        <v>15077.081131853949</v>
      </c>
      <c r="N67" s="132">
        <f t="shared" si="37"/>
        <v>15077.081131853949</v>
      </c>
      <c r="O67" s="132">
        <f t="shared" si="37"/>
        <v>15077.081131853949</v>
      </c>
      <c r="P67" s="132">
        <f t="shared" si="37"/>
        <v>15077.081131853949</v>
      </c>
      <c r="Q67" s="132">
        <f t="shared" si="37"/>
        <v>15077.081131853949</v>
      </c>
      <c r="R67" s="132">
        <f t="shared" si="37"/>
        <v>15077.081131853949</v>
      </c>
      <c r="S67" s="132">
        <f t="shared" si="37"/>
        <v>15077.081131853949</v>
      </c>
      <c r="T67" s="132">
        <f t="shared" si="37"/>
        <v>15077.081131853949</v>
      </c>
      <c r="U67" s="132">
        <f t="shared" si="37"/>
        <v>15077.081131853949</v>
      </c>
      <c r="V67" s="132">
        <f t="shared" si="37"/>
        <v>15077.081131853949</v>
      </c>
      <c r="W67" s="132">
        <f t="shared" si="37"/>
        <v>15077.081131853949</v>
      </c>
      <c r="X67" s="132">
        <f t="shared" si="37"/>
        <v>15077.081131853949</v>
      </c>
      <c r="Y67" s="132">
        <f t="shared" si="37"/>
        <v>16584.789245039341</v>
      </c>
      <c r="Z67" s="132">
        <f t="shared" si="37"/>
        <v>16584.789245039341</v>
      </c>
      <c r="AA67" s="132">
        <f t="shared" si="37"/>
        <v>16584.789245039341</v>
      </c>
      <c r="AB67" s="132">
        <f t="shared" si="37"/>
        <v>16584.789245039341</v>
      </c>
      <c r="AC67" s="132">
        <f t="shared" si="37"/>
        <v>16584.789245039341</v>
      </c>
      <c r="AD67" s="132">
        <f t="shared" si="37"/>
        <v>16584.789245039341</v>
      </c>
      <c r="AE67" s="132">
        <f t="shared" si="37"/>
        <v>16584.789245039341</v>
      </c>
      <c r="AF67" s="132">
        <f t="shared" si="37"/>
        <v>16584.789245039341</v>
      </c>
      <c r="AG67" s="132">
        <f t="shared" si="37"/>
        <v>16584.789245039341</v>
      </c>
      <c r="AH67" s="132">
        <f t="shared" si="37"/>
        <v>16584.789245039341</v>
      </c>
      <c r="AI67" s="132">
        <f t="shared" si="37"/>
        <v>16584.789245039341</v>
      </c>
      <c r="AJ67" s="132">
        <f t="shared" si="37"/>
        <v>16584.789245039341</v>
      </c>
      <c r="AK67" s="132">
        <f t="shared" si="37"/>
        <v>18243.268169543277</v>
      </c>
      <c r="AL67" s="132">
        <f t="shared" si="37"/>
        <v>18243.268169543277</v>
      </c>
      <c r="AM67" s="132">
        <f t="shared" si="37"/>
        <v>18243.268169543277</v>
      </c>
      <c r="AN67" s="132">
        <f t="shared" si="37"/>
        <v>18243.268169543277</v>
      </c>
      <c r="AO67" s="132">
        <f t="shared" si="37"/>
        <v>18243.268169543277</v>
      </c>
      <c r="AP67" s="132">
        <f t="shared" si="37"/>
        <v>18243.268169543277</v>
      </c>
      <c r="AQ67" s="132">
        <f t="shared" si="37"/>
        <v>18243.268169543277</v>
      </c>
      <c r="AR67" s="132">
        <f t="shared" si="37"/>
        <v>18243.268169543277</v>
      </c>
      <c r="AS67" s="132">
        <f t="shared" ref="AS67:BX67" si="38">SUM(AS57:AS66)</f>
        <v>18243.268169543277</v>
      </c>
      <c r="AT67" s="132">
        <f t="shared" si="38"/>
        <v>18243.268169543277</v>
      </c>
      <c r="AU67" s="132">
        <f t="shared" si="38"/>
        <v>18243.268169543277</v>
      </c>
      <c r="AV67" s="132">
        <f t="shared" si="38"/>
        <v>20663.268169543277</v>
      </c>
      <c r="AW67" s="132">
        <f t="shared" si="38"/>
        <v>22729.594986497606</v>
      </c>
      <c r="AX67" s="132">
        <f t="shared" si="38"/>
        <v>22729.594986497606</v>
      </c>
      <c r="AY67" s="132">
        <f t="shared" si="38"/>
        <v>22729.594986497606</v>
      </c>
      <c r="AZ67" s="132">
        <f t="shared" si="38"/>
        <v>22729.594986497606</v>
      </c>
      <c r="BA67" s="132">
        <f t="shared" si="38"/>
        <v>22729.594986497606</v>
      </c>
      <c r="BB67" s="132">
        <f t="shared" si="38"/>
        <v>22729.594986497606</v>
      </c>
      <c r="BC67" s="132">
        <f t="shared" si="38"/>
        <v>22729.594986497606</v>
      </c>
      <c r="BD67" s="132">
        <f t="shared" si="38"/>
        <v>22729.594986497606</v>
      </c>
      <c r="BE67" s="132">
        <f t="shared" si="38"/>
        <v>22729.594986497606</v>
      </c>
      <c r="BF67" s="132">
        <f t="shared" si="38"/>
        <v>22729.594986497606</v>
      </c>
      <c r="BG67" s="132">
        <f t="shared" si="38"/>
        <v>22729.594986497606</v>
      </c>
      <c r="BH67" s="132">
        <f t="shared" si="38"/>
        <v>22729.594986497606</v>
      </c>
      <c r="BI67" s="132">
        <f t="shared" si="38"/>
        <v>25002.554485147368</v>
      </c>
      <c r="BJ67" s="132">
        <f t="shared" si="38"/>
        <v>25002.554485147368</v>
      </c>
      <c r="BK67" s="132">
        <f t="shared" si="38"/>
        <v>25002.554485147368</v>
      </c>
      <c r="BL67" s="132">
        <f t="shared" si="38"/>
        <v>25002.554485147368</v>
      </c>
      <c r="BM67" s="132">
        <f t="shared" si="38"/>
        <v>25002.554485147368</v>
      </c>
      <c r="BN67" s="132">
        <f t="shared" si="38"/>
        <v>25002.554485147368</v>
      </c>
      <c r="BO67" s="132">
        <f t="shared" si="38"/>
        <v>25002.554485147368</v>
      </c>
      <c r="BP67" s="132">
        <f t="shared" si="38"/>
        <v>25002.554485147368</v>
      </c>
      <c r="BQ67" s="132">
        <f t="shared" si="38"/>
        <v>25002.554485147368</v>
      </c>
      <c r="BR67" s="132">
        <f t="shared" si="38"/>
        <v>44148.708970294727</v>
      </c>
      <c r="BS67" s="132">
        <f t="shared" si="38"/>
        <v>44148.708970294727</v>
      </c>
      <c r="BT67" s="132">
        <f t="shared" si="38"/>
        <v>44148.708970294727</v>
      </c>
      <c r="BU67" s="35"/>
      <c r="BV67" s="145"/>
      <c r="BW67" s="145"/>
      <c r="BX67" s="145"/>
      <c r="BY67" s="145"/>
      <c r="BZ67" s="145"/>
    </row>
    <row r="68" spans="1:78" ht="15.6">
      <c r="A68" s="67" t="s">
        <v>127</v>
      </c>
      <c r="M68" s="137">
        <f t="shared" ref="M68:AR68" si="39">M55+M67</f>
        <v>16662.146295644019</v>
      </c>
      <c r="N68" s="137">
        <f t="shared" si="39"/>
        <v>16693.84759891982</v>
      </c>
      <c r="O68" s="137">
        <f t="shared" si="39"/>
        <v>16726.182928261136</v>
      </c>
      <c r="P68" s="137">
        <f t="shared" si="39"/>
        <v>16759.16496418928</v>
      </c>
      <c r="Q68" s="137">
        <f t="shared" si="39"/>
        <v>16792.806640835988</v>
      </c>
      <c r="R68" s="137">
        <f t="shared" si="39"/>
        <v>16827.121151015628</v>
      </c>
      <c r="S68" s="137">
        <f t="shared" si="39"/>
        <v>16862.121951398862</v>
      </c>
      <c r="T68" s="137">
        <f t="shared" si="39"/>
        <v>16897.822767789759</v>
      </c>
      <c r="U68" s="137">
        <f t="shared" si="39"/>
        <v>16934.237600508477</v>
      </c>
      <c r="V68" s="137">
        <f t="shared" si="39"/>
        <v>16971.380729881566</v>
      </c>
      <c r="W68" s="137">
        <f t="shared" si="39"/>
        <v>17009.266721842119</v>
      </c>
      <c r="X68" s="137">
        <f t="shared" si="39"/>
        <v>17047.910433641882</v>
      </c>
      <c r="Y68" s="137">
        <f t="shared" si="39"/>
        <v>18595.035132863035</v>
      </c>
      <c r="Z68" s="137">
        <f t="shared" si="39"/>
        <v>18635.240050619508</v>
      </c>
      <c r="AA68" s="137">
        <f t="shared" si="39"/>
        <v>18676.249066731114</v>
      </c>
      <c r="AB68" s="137">
        <f t="shared" si="39"/>
        <v>18718.078263164949</v>
      </c>
      <c r="AC68" s="137">
        <f t="shared" si="39"/>
        <v>18760.744043527458</v>
      </c>
      <c r="AD68" s="137">
        <f t="shared" si="39"/>
        <v>18804.263139497223</v>
      </c>
      <c r="AE68" s="137">
        <f t="shared" si="39"/>
        <v>18848.652617386379</v>
      </c>
      <c r="AF68" s="137">
        <f t="shared" si="39"/>
        <v>18893.92988483332</v>
      </c>
      <c r="AG68" s="137">
        <f t="shared" si="39"/>
        <v>18940.1126976292</v>
      </c>
      <c r="AH68" s="137">
        <f t="shared" si="39"/>
        <v>18987.219166680996</v>
      </c>
      <c r="AI68" s="137">
        <f t="shared" si="39"/>
        <v>19035.267765113829</v>
      </c>
      <c r="AJ68" s="137">
        <f t="shared" si="39"/>
        <v>19084.277335515322</v>
      </c>
      <c r="AK68" s="137">
        <f t="shared" si="39"/>
        <v>20792.746021828774</v>
      </c>
      <c r="AL68" s="137">
        <f t="shared" si="39"/>
        <v>20843.735578874486</v>
      </c>
      <c r="AM68" s="137">
        <f t="shared" si="39"/>
        <v>20895.744927061111</v>
      </c>
      <c r="AN68" s="137">
        <f t="shared" si="39"/>
        <v>20948.794462211466</v>
      </c>
      <c r="AO68" s="137">
        <f t="shared" si="39"/>
        <v>21002.904988064831</v>
      </c>
      <c r="AP68" s="137">
        <f t="shared" si="39"/>
        <v>21058.097724435262</v>
      </c>
      <c r="AQ68" s="137">
        <f t="shared" si="39"/>
        <v>21114.394315533104</v>
      </c>
      <c r="AR68" s="137">
        <f t="shared" si="39"/>
        <v>21171.816838452898</v>
      </c>
      <c r="AS68" s="137">
        <f t="shared" ref="AS68:BX68" si="40">AS55+AS67</f>
        <v>21230.387811831089</v>
      </c>
      <c r="AT68" s="137">
        <f t="shared" si="40"/>
        <v>21290.130204676847</v>
      </c>
      <c r="AU68" s="137">
        <f t="shared" si="40"/>
        <v>21351.067445379518</v>
      </c>
      <c r="AV68" s="137">
        <f t="shared" si="40"/>
        <v>23833.223430896243</v>
      </c>
      <c r="AW68" s="137">
        <f t="shared" si="40"/>
        <v>25962.949353077631</v>
      </c>
      <c r="AX68" s="137">
        <f t="shared" si="40"/>
        <v>26027.616440409234</v>
      </c>
      <c r="AY68" s="137">
        <f t="shared" si="40"/>
        <v>26093.576869487464</v>
      </c>
      <c r="AZ68" s="137">
        <f t="shared" si="40"/>
        <v>26160.856507147262</v>
      </c>
      <c r="BA68" s="137">
        <f t="shared" si="40"/>
        <v>26229.481737560258</v>
      </c>
      <c r="BB68" s="137">
        <f t="shared" si="40"/>
        <v>26299.479472581508</v>
      </c>
      <c r="BC68" s="137">
        <f t="shared" si="40"/>
        <v>26370.877162303186</v>
      </c>
      <c r="BD68" s="137">
        <f t="shared" si="40"/>
        <v>26443.702805819299</v>
      </c>
      <c r="BE68" s="137">
        <f t="shared" si="40"/>
        <v>26517.984962205734</v>
      </c>
      <c r="BF68" s="137">
        <f t="shared" si="40"/>
        <v>26593.752761719894</v>
      </c>
      <c r="BG68" s="137">
        <f t="shared" si="40"/>
        <v>26671.035917224341</v>
      </c>
      <c r="BH68" s="137">
        <f t="shared" si="40"/>
        <v>26749.864735838877</v>
      </c>
      <c r="BI68" s="137">
        <f t="shared" si="40"/>
        <v>29103.229629475463</v>
      </c>
      <c r="BJ68" s="137">
        <f t="shared" si="40"/>
        <v>29185.243132362026</v>
      </c>
      <c r="BK68" s="137">
        <f t="shared" si="40"/>
        <v>29268.896905306319</v>
      </c>
      <c r="BL68" s="137">
        <f t="shared" si="40"/>
        <v>29354.223753709495</v>
      </c>
      <c r="BM68" s="137">
        <f t="shared" si="40"/>
        <v>29441.257139080739</v>
      </c>
      <c r="BN68" s="137">
        <f t="shared" si="40"/>
        <v>29530.031192159408</v>
      </c>
      <c r="BO68" s="137">
        <f t="shared" si="40"/>
        <v>29620.580726299646</v>
      </c>
      <c r="BP68" s="137">
        <f t="shared" si="40"/>
        <v>29712.941251122695</v>
      </c>
      <c r="BQ68" s="137">
        <f t="shared" si="40"/>
        <v>29807.1489864422</v>
      </c>
      <c r="BR68" s="137">
        <f t="shared" si="40"/>
        <v>49049.395361615454</v>
      </c>
      <c r="BS68" s="137">
        <f t="shared" si="40"/>
        <v>49147.40908944187</v>
      </c>
      <c r="BT68" s="137">
        <f t="shared" si="40"/>
        <v>49247.383091824813</v>
      </c>
      <c r="BU68" s="35"/>
      <c r="BV68" s="154">
        <f>SUMIF($M$3:$BT$3,BV$3,$M68:$BT68)</f>
        <v>202184.00978392852</v>
      </c>
      <c r="BW68" s="154">
        <f>SUMIF($M$3:$BT$3,BW$3,$M68:$BT68)</f>
        <v>225979.06916356235</v>
      </c>
      <c r="BX68" s="154">
        <f>SUMIF($M$3:$BT$3,BX$3,$M68:$BT68)</f>
        <v>255533.04374924561</v>
      </c>
      <c r="BY68" s="154">
        <f>SUMIF($M$3:$BT$3,BY$3,$M68:$BT68)</f>
        <v>316121.17872537475</v>
      </c>
      <c r="BZ68" s="154">
        <f>SUMIF($M$3:$BT$3,BZ$3,$M68:$BT68)</f>
        <v>412467.74025884015</v>
      </c>
    </row>
    <row r="69" spans="1:78" ht="15.6">
      <c r="A69" s="71" t="s">
        <v>128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</row>
    <row r="70" spans="1:78" ht="15.6">
      <c r="A70" s="78" t="s">
        <v>129</v>
      </c>
      <c r="BU70" s="35"/>
    </row>
    <row r="71" spans="1:78" ht="15.6">
      <c r="A71" s="67" t="str">
        <f>A10</f>
        <v>Customer Support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181">
        <f t="shared" ref="M71:AR71" si="41">M10</f>
        <v>0</v>
      </c>
      <c r="N71" s="181">
        <f t="shared" si="41"/>
        <v>0</v>
      </c>
      <c r="O71" s="181">
        <f t="shared" si="41"/>
        <v>0</v>
      </c>
      <c r="P71" s="181">
        <f t="shared" si="41"/>
        <v>0</v>
      </c>
      <c r="Q71" s="181">
        <f t="shared" si="41"/>
        <v>0</v>
      </c>
      <c r="R71" s="181">
        <f t="shared" si="41"/>
        <v>1</v>
      </c>
      <c r="S71" s="181">
        <f t="shared" si="41"/>
        <v>1</v>
      </c>
      <c r="T71" s="181">
        <f t="shared" si="41"/>
        <v>1</v>
      </c>
      <c r="U71" s="181">
        <f t="shared" si="41"/>
        <v>1</v>
      </c>
      <c r="V71" s="181">
        <f t="shared" si="41"/>
        <v>1</v>
      </c>
      <c r="W71" s="181">
        <f t="shared" si="41"/>
        <v>1</v>
      </c>
      <c r="X71" s="181">
        <f t="shared" si="41"/>
        <v>1</v>
      </c>
      <c r="Y71" s="181">
        <f t="shared" si="41"/>
        <v>1</v>
      </c>
      <c r="Z71" s="181">
        <f t="shared" si="41"/>
        <v>1</v>
      </c>
      <c r="AA71" s="181">
        <f t="shared" si="41"/>
        <v>1</v>
      </c>
      <c r="AB71" s="181">
        <f t="shared" si="41"/>
        <v>1</v>
      </c>
      <c r="AC71" s="181">
        <f t="shared" si="41"/>
        <v>1</v>
      </c>
      <c r="AD71" s="181">
        <f t="shared" si="41"/>
        <v>1</v>
      </c>
      <c r="AE71" s="181">
        <f t="shared" si="41"/>
        <v>1</v>
      </c>
      <c r="AF71" s="181">
        <f t="shared" si="41"/>
        <v>1</v>
      </c>
      <c r="AG71" s="181">
        <f t="shared" si="41"/>
        <v>2</v>
      </c>
      <c r="AH71" s="181">
        <f t="shared" si="41"/>
        <v>2</v>
      </c>
      <c r="AI71" s="181">
        <f t="shared" si="41"/>
        <v>2</v>
      </c>
      <c r="AJ71" s="181">
        <f t="shared" si="41"/>
        <v>2</v>
      </c>
      <c r="AK71" s="181">
        <f t="shared" si="41"/>
        <v>2</v>
      </c>
      <c r="AL71" s="181">
        <f t="shared" si="41"/>
        <v>2</v>
      </c>
      <c r="AM71" s="181">
        <f t="shared" si="41"/>
        <v>2</v>
      </c>
      <c r="AN71" s="181">
        <f t="shared" si="41"/>
        <v>2</v>
      </c>
      <c r="AO71" s="181">
        <f t="shared" si="41"/>
        <v>2</v>
      </c>
      <c r="AP71" s="181">
        <f t="shared" si="41"/>
        <v>2</v>
      </c>
      <c r="AQ71" s="181">
        <f t="shared" si="41"/>
        <v>2</v>
      </c>
      <c r="AR71" s="181">
        <f t="shared" si="41"/>
        <v>2</v>
      </c>
      <c r="AS71" s="181">
        <f t="shared" ref="AS71:BT71" si="42">AS10</f>
        <v>2</v>
      </c>
      <c r="AT71" s="181">
        <f t="shared" si="42"/>
        <v>2</v>
      </c>
      <c r="AU71" s="181">
        <f t="shared" si="42"/>
        <v>2</v>
      </c>
      <c r="AV71" s="181">
        <f t="shared" si="42"/>
        <v>2</v>
      </c>
      <c r="AW71" s="181">
        <f t="shared" si="42"/>
        <v>2</v>
      </c>
      <c r="AX71" s="181">
        <f t="shared" si="42"/>
        <v>2</v>
      </c>
      <c r="AY71" s="181">
        <f t="shared" si="42"/>
        <v>2</v>
      </c>
      <c r="AZ71" s="181">
        <f t="shared" si="42"/>
        <v>2</v>
      </c>
      <c r="BA71" s="181">
        <f t="shared" si="42"/>
        <v>2</v>
      </c>
      <c r="BB71" s="181">
        <f t="shared" si="42"/>
        <v>2</v>
      </c>
      <c r="BC71" s="181">
        <f t="shared" si="42"/>
        <v>2</v>
      </c>
      <c r="BD71" s="181">
        <f t="shared" si="42"/>
        <v>3</v>
      </c>
      <c r="BE71" s="181">
        <f t="shared" si="42"/>
        <v>3</v>
      </c>
      <c r="BF71" s="181">
        <f t="shared" si="42"/>
        <v>3</v>
      </c>
      <c r="BG71" s="181">
        <f t="shared" si="42"/>
        <v>3</v>
      </c>
      <c r="BH71" s="181">
        <f t="shared" si="42"/>
        <v>3</v>
      </c>
      <c r="BI71" s="181">
        <f t="shared" si="42"/>
        <v>3</v>
      </c>
      <c r="BJ71" s="181">
        <f t="shared" si="42"/>
        <v>3</v>
      </c>
      <c r="BK71" s="181">
        <f t="shared" si="42"/>
        <v>3</v>
      </c>
      <c r="BL71" s="181">
        <f t="shared" si="42"/>
        <v>3</v>
      </c>
      <c r="BM71" s="181">
        <f t="shared" si="42"/>
        <v>3</v>
      </c>
      <c r="BN71" s="181">
        <f t="shared" si="42"/>
        <v>3</v>
      </c>
      <c r="BO71" s="181">
        <f t="shared" si="42"/>
        <v>3</v>
      </c>
      <c r="BP71" s="181">
        <f t="shared" si="42"/>
        <v>4</v>
      </c>
      <c r="BQ71" s="181">
        <f t="shared" si="42"/>
        <v>4</v>
      </c>
      <c r="BR71" s="181">
        <f t="shared" si="42"/>
        <v>4</v>
      </c>
      <c r="BS71" s="181">
        <f t="shared" si="42"/>
        <v>4</v>
      </c>
      <c r="BT71" s="181">
        <f t="shared" si="42"/>
        <v>4</v>
      </c>
      <c r="BU71" s="35"/>
      <c r="BV71" s="145">
        <f t="shared" ref="BV71:BZ72" si="43">INDEX($M71:$BT71,MATCH(BV$4,$M$4:$BT$4,0))</f>
        <v>1</v>
      </c>
      <c r="BW71" s="145">
        <f t="shared" si="43"/>
        <v>2</v>
      </c>
      <c r="BX71" s="145">
        <f t="shared" si="43"/>
        <v>2</v>
      </c>
      <c r="BY71" s="145">
        <f t="shared" si="43"/>
        <v>3</v>
      </c>
      <c r="BZ71" s="145">
        <f t="shared" si="43"/>
        <v>4</v>
      </c>
    </row>
    <row r="72" spans="1:78" ht="15.6">
      <c r="A72" s="142" t="str">
        <f>Assumptions!A35</f>
        <v>Sales Team-Headcount</v>
      </c>
      <c r="M72" s="67">
        <f t="shared" ref="M72:AR72" si="44">SUM(M73:M74)</f>
        <v>1</v>
      </c>
      <c r="N72" s="67">
        <f t="shared" si="44"/>
        <v>1</v>
      </c>
      <c r="O72" s="67">
        <f t="shared" si="44"/>
        <v>1</v>
      </c>
      <c r="P72" s="67">
        <f t="shared" si="44"/>
        <v>1</v>
      </c>
      <c r="Q72" s="67">
        <f t="shared" si="44"/>
        <v>1</v>
      </c>
      <c r="R72" s="67">
        <f t="shared" si="44"/>
        <v>1</v>
      </c>
      <c r="S72" s="67">
        <f t="shared" si="44"/>
        <v>1</v>
      </c>
      <c r="T72" s="67">
        <f t="shared" si="44"/>
        <v>1</v>
      </c>
      <c r="U72" s="67">
        <f t="shared" si="44"/>
        <v>1</v>
      </c>
      <c r="V72" s="67">
        <f t="shared" si="44"/>
        <v>1</v>
      </c>
      <c r="W72" s="67">
        <f t="shared" si="44"/>
        <v>1</v>
      </c>
      <c r="X72" s="67">
        <f t="shared" si="44"/>
        <v>1</v>
      </c>
      <c r="Y72" s="67">
        <f t="shared" si="44"/>
        <v>1</v>
      </c>
      <c r="Z72" s="67">
        <f t="shared" si="44"/>
        <v>1</v>
      </c>
      <c r="AA72" s="67">
        <f t="shared" si="44"/>
        <v>1</v>
      </c>
      <c r="AB72" s="67">
        <f t="shared" si="44"/>
        <v>1</v>
      </c>
      <c r="AC72" s="67">
        <f t="shared" si="44"/>
        <v>1</v>
      </c>
      <c r="AD72" s="67">
        <f t="shared" si="44"/>
        <v>1</v>
      </c>
      <c r="AE72" s="67">
        <f t="shared" si="44"/>
        <v>1</v>
      </c>
      <c r="AF72" s="67">
        <f t="shared" si="44"/>
        <v>1</v>
      </c>
      <c r="AG72" s="67">
        <f t="shared" si="44"/>
        <v>1</v>
      </c>
      <c r="AH72" s="67">
        <f t="shared" si="44"/>
        <v>1</v>
      </c>
      <c r="AI72" s="67">
        <f t="shared" si="44"/>
        <v>1</v>
      </c>
      <c r="AJ72" s="67">
        <f t="shared" si="44"/>
        <v>1</v>
      </c>
      <c r="AK72" s="67">
        <f t="shared" si="44"/>
        <v>1</v>
      </c>
      <c r="AL72" s="67">
        <f t="shared" si="44"/>
        <v>1</v>
      </c>
      <c r="AM72" s="67">
        <f t="shared" si="44"/>
        <v>1</v>
      </c>
      <c r="AN72" s="67">
        <f t="shared" si="44"/>
        <v>1</v>
      </c>
      <c r="AO72" s="67">
        <f t="shared" si="44"/>
        <v>1</v>
      </c>
      <c r="AP72" s="67">
        <f t="shared" si="44"/>
        <v>1</v>
      </c>
      <c r="AQ72" s="67">
        <f t="shared" si="44"/>
        <v>1</v>
      </c>
      <c r="AR72" s="67">
        <f t="shared" si="44"/>
        <v>1</v>
      </c>
      <c r="AS72" s="67">
        <f t="shared" ref="AS72:BX72" si="45">SUM(AS73:AS74)</f>
        <v>1</v>
      </c>
      <c r="AT72" s="67">
        <f t="shared" si="45"/>
        <v>1</v>
      </c>
      <c r="AU72" s="67">
        <f t="shared" si="45"/>
        <v>1</v>
      </c>
      <c r="AV72" s="67">
        <f t="shared" si="45"/>
        <v>1</v>
      </c>
      <c r="AW72" s="67">
        <f t="shared" si="45"/>
        <v>1</v>
      </c>
      <c r="AX72" s="67">
        <f t="shared" si="45"/>
        <v>1</v>
      </c>
      <c r="AY72" s="67">
        <f t="shared" si="45"/>
        <v>1</v>
      </c>
      <c r="AZ72" s="67">
        <f t="shared" si="45"/>
        <v>1</v>
      </c>
      <c r="BA72" s="67">
        <f t="shared" si="45"/>
        <v>1</v>
      </c>
      <c r="BB72" s="67">
        <f t="shared" si="45"/>
        <v>1</v>
      </c>
      <c r="BC72" s="67">
        <f t="shared" si="45"/>
        <v>1</v>
      </c>
      <c r="BD72" s="67">
        <f t="shared" si="45"/>
        <v>1</v>
      </c>
      <c r="BE72" s="67">
        <f t="shared" si="45"/>
        <v>1</v>
      </c>
      <c r="BF72" s="67">
        <f t="shared" si="45"/>
        <v>1</v>
      </c>
      <c r="BG72" s="67">
        <f t="shared" si="45"/>
        <v>1</v>
      </c>
      <c r="BH72" s="67">
        <f t="shared" si="45"/>
        <v>1</v>
      </c>
      <c r="BI72" s="67">
        <f t="shared" si="45"/>
        <v>1</v>
      </c>
      <c r="BJ72" s="67">
        <f t="shared" si="45"/>
        <v>1</v>
      </c>
      <c r="BK72" s="67">
        <f t="shared" si="45"/>
        <v>1</v>
      </c>
      <c r="BL72" s="67">
        <f t="shared" si="45"/>
        <v>1</v>
      </c>
      <c r="BM72" s="67">
        <f t="shared" si="45"/>
        <v>1</v>
      </c>
      <c r="BN72" s="67">
        <f t="shared" si="45"/>
        <v>1</v>
      </c>
      <c r="BO72" s="67">
        <f t="shared" si="45"/>
        <v>1</v>
      </c>
      <c r="BP72" s="67">
        <f t="shared" si="45"/>
        <v>1</v>
      </c>
      <c r="BQ72" s="67">
        <f t="shared" si="45"/>
        <v>1</v>
      </c>
      <c r="BR72" s="67">
        <f t="shared" si="45"/>
        <v>1</v>
      </c>
      <c r="BS72" s="67">
        <f t="shared" si="45"/>
        <v>1</v>
      </c>
      <c r="BT72" s="67">
        <f t="shared" si="45"/>
        <v>1</v>
      </c>
      <c r="BU72" s="35"/>
      <c r="BV72" s="145">
        <f t="shared" si="43"/>
        <v>1</v>
      </c>
      <c r="BW72" s="145">
        <f t="shared" si="43"/>
        <v>1</v>
      </c>
      <c r="BX72" s="145">
        <f t="shared" si="43"/>
        <v>1</v>
      </c>
      <c r="BY72" s="145">
        <f t="shared" si="43"/>
        <v>1</v>
      </c>
      <c r="BZ72" s="145">
        <f t="shared" si="43"/>
        <v>1</v>
      </c>
    </row>
    <row r="73" spans="1:78">
      <c r="A73" s="144" t="str">
        <f>Assumptions!A36</f>
        <v>Client Success Manager</v>
      </c>
      <c r="M73" s="182">
        <f>CEILING('Revenue Buildup'!M$6,Assumptions!M$36)/Assumptions!M$36</f>
        <v>1</v>
      </c>
      <c r="N73" s="182">
        <f>CEILING('Revenue Buildup'!N$6,Assumptions!N$36)/Assumptions!N$36</f>
        <v>1</v>
      </c>
      <c r="O73" s="182">
        <f>CEILING('Revenue Buildup'!O$6,Assumptions!O$36)/Assumptions!O$36</f>
        <v>1</v>
      </c>
      <c r="P73" s="182">
        <f>CEILING('Revenue Buildup'!P$6,Assumptions!P$36)/Assumptions!P$36</f>
        <v>1</v>
      </c>
      <c r="Q73" s="182">
        <f>CEILING('Revenue Buildup'!Q$6,Assumptions!Q$36)/Assumptions!Q$36</f>
        <v>1</v>
      </c>
      <c r="R73" s="182">
        <f>CEILING('Revenue Buildup'!R$6,Assumptions!R$36)/Assumptions!R$36</f>
        <v>1</v>
      </c>
      <c r="S73" s="182">
        <f>CEILING('Revenue Buildup'!S$6,Assumptions!S$36)/Assumptions!S$36</f>
        <v>1</v>
      </c>
      <c r="T73" s="182">
        <f>CEILING('Revenue Buildup'!T$6,Assumptions!T$36)/Assumptions!T$36</f>
        <v>1</v>
      </c>
      <c r="U73" s="182">
        <f>CEILING('Revenue Buildup'!U$6,Assumptions!U$36)/Assumptions!U$36</f>
        <v>1</v>
      </c>
      <c r="V73" s="182">
        <f>CEILING('Revenue Buildup'!V$6,Assumptions!V$36)/Assumptions!V$36</f>
        <v>1</v>
      </c>
      <c r="W73" s="182">
        <f>CEILING('Revenue Buildup'!W$6,Assumptions!W$36)/Assumptions!W$36</f>
        <v>1</v>
      </c>
      <c r="X73" s="182">
        <f>CEILING('Revenue Buildup'!X$6,Assumptions!X$36)/Assumptions!X$36</f>
        <v>1</v>
      </c>
      <c r="Y73" s="182">
        <f>CEILING('Revenue Buildup'!Y$6,Assumptions!Y$36)/Assumptions!Y$36</f>
        <v>1</v>
      </c>
      <c r="Z73" s="182">
        <f>CEILING('Revenue Buildup'!Z$6,Assumptions!Z$36)/Assumptions!Z$36</f>
        <v>1</v>
      </c>
      <c r="AA73" s="182">
        <f>CEILING('Revenue Buildup'!AA$6,Assumptions!AA$36)/Assumptions!AA$36</f>
        <v>1</v>
      </c>
      <c r="AB73" s="182">
        <f>CEILING('Revenue Buildup'!AB$6,Assumptions!AB$36)/Assumptions!AB$36</f>
        <v>1</v>
      </c>
      <c r="AC73" s="182">
        <f>CEILING('Revenue Buildup'!AC$6,Assumptions!AC$36)/Assumptions!AC$36</f>
        <v>1</v>
      </c>
      <c r="AD73" s="182">
        <f>CEILING('Revenue Buildup'!AD$6,Assumptions!AD$36)/Assumptions!AD$36</f>
        <v>1</v>
      </c>
      <c r="AE73" s="182">
        <f>CEILING('Revenue Buildup'!AE$6,Assumptions!AE$36)/Assumptions!AE$36</f>
        <v>1</v>
      </c>
      <c r="AF73" s="182">
        <f>CEILING('Revenue Buildup'!AF$6,Assumptions!AF$36)/Assumptions!AF$36</f>
        <v>1</v>
      </c>
      <c r="AG73" s="182">
        <f>CEILING('Revenue Buildup'!AG$6,Assumptions!AG$36)/Assumptions!AG$36</f>
        <v>1</v>
      </c>
      <c r="AH73" s="182">
        <f>CEILING('Revenue Buildup'!AH$6,Assumptions!AH$36)/Assumptions!AH$36</f>
        <v>1</v>
      </c>
      <c r="AI73" s="182">
        <f>CEILING('Revenue Buildup'!AI$6,Assumptions!AI$36)/Assumptions!AI$36</f>
        <v>1</v>
      </c>
      <c r="AJ73" s="182">
        <f>CEILING('Revenue Buildup'!AJ$6,Assumptions!AJ$36)/Assumptions!AJ$36</f>
        <v>1</v>
      </c>
      <c r="AK73" s="182">
        <f>CEILING('Revenue Buildup'!AK$6,Assumptions!AK$36)/Assumptions!AK$36</f>
        <v>1</v>
      </c>
      <c r="AL73" s="182">
        <f>CEILING('Revenue Buildup'!AL$6,Assumptions!AL$36)/Assumptions!AL$36</f>
        <v>1</v>
      </c>
      <c r="AM73" s="182">
        <f>CEILING('Revenue Buildup'!AM$6,Assumptions!AM$36)/Assumptions!AM$36</f>
        <v>1</v>
      </c>
      <c r="AN73" s="182">
        <f>CEILING('Revenue Buildup'!AN$6,Assumptions!AN$36)/Assumptions!AN$36</f>
        <v>1</v>
      </c>
      <c r="AO73" s="182">
        <f>CEILING('Revenue Buildup'!AO$6,Assumptions!AO$36)/Assumptions!AO$36</f>
        <v>1</v>
      </c>
      <c r="AP73" s="182">
        <f>CEILING('Revenue Buildup'!AP$6,Assumptions!AP$36)/Assumptions!AP$36</f>
        <v>1</v>
      </c>
      <c r="AQ73" s="182">
        <f>CEILING('Revenue Buildup'!AQ$6,Assumptions!AQ$36)/Assumptions!AQ$36</f>
        <v>1</v>
      </c>
      <c r="AR73" s="182">
        <f>CEILING('Revenue Buildup'!AR$6,Assumptions!AR$36)/Assumptions!AR$36</f>
        <v>1</v>
      </c>
      <c r="AS73" s="182">
        <f>CEILING('Revenue Buildup'!AS$6,Assumptions!AS$36)/Assumptions!AS$36</f>
        <v>1</v>
      </c>
      <c r="AT73" s="182">
        <f>CEILING('Revenue Buildup'!AT$6,Assumptions!AT$36)/Assumptions!AT$36</f>
        <v>1</v>
      </c>
      <c r="AU73" s="182">
        <f>CEILING('Revenue Buildup'!AU$6,Assumptions!AU$36)/Assumptions!AU$36</f>
        <v>1</v>
      </c>
      <c r="AV73" s="182">
        <f>CEILING('Revenue Buildup'!AV$6,Assumptions!AV$36)/Assumptions!AV$36</f>
        <v>1</v>
      </c>
      <c r="AW73" s="182">
        <f>CEILING('Revenue Buildup'!AW$6,Assumptions!AW$36)/Assumptions!AW$36</f>
        <v>1</v>
      </c>
      <c r="AX73" s="182">
        <f>CEILING('Revenue Buildup'!AX$6,Assumptions!AX$36)/Assumptions!AX$36</f>
        <v>1</v>
      </c>
      <c r="AY73" s="182">
        <f>CEILING('Revenue Buildup'!AY$6,Assumptions!AY$36)/Assumptions!AY$36</f>
        <v>1</v>
      </c>
      <c r="AZ73" s="182">
        <f>CEILING('Revenue Buildup'!AZ$6,Assumptions!AZ$36)/Assumptions!AZ$36</f>
        <v>1</v>
      </c>
      <c r="BA73" s="182">
        <f>CEILING('Revenue Buildup'!BA$6,Assumptions!BA$36)/Assumptions!BA$36</f>
        <v>1</v>
      </c>
      <c r="BB73" s="182">
        <f>CEILING('Revenue Buildup'!BB$6,Assumptions!BB$36)/Assumptions!BB$36</f>
        <v>1</v>
      </c>
      <c r="BC73" s="182">
        <f>CEILING('Revenue Buildup'!BC$6,Assumptions!BC$36)/Assumptions!BC$36</f>
        <v>1</v>
      </c>
      <c r="BD73" s="182">
        <f>CEILING('Revenue Buildup'!BD$6,Assumptions!BD$36)/Assumptions!BD$36</f>
        <v>1</v>
      </c>
      <c r="BE73" s="182">
        <f>CEILING('Revenue Buildup'!BE$6,Assumptions!BE$36)/Assumptions!BE$36</f>
        <v>1</v>
      </c>
      <c r="BF73" s="182">
        <f>CEILING('Revenue Buildup'!BF$6,Assumptions!BF$36)/Assumptions!BF$36</f>
        <v>1</v>
      </c>
      <c r="BG73" s="182">
        <f>CEILING('Revenue Buildup'!BG$6,Assumptions!BG$36)/Assumptions!BG$36</f>
        <v>1</v>
      </c>
      <c r="BH73" s="182">
        <f>CEILING('Revenue Buildup'!BH$6,Assumptions!BH$36)/Assumptions!BH$36</f>
        <v>1</v>
      </c>
      <c r="BI73" s="182">
        <f>CEILING('Revenue Buildup'!BI$6,Assumptions!BI$36)/Assumptions!BI$36</f>
        <v>1</v>
      </c>
      <c r="BJ73" s="182">
        <f>CEILING('Revenue Buildup'!BJ$6,Assumptions!BJ$36)/Assumptions!BJ$36</f>
        <v>1</v>
      </c>
      <c r="BK73" s="182">
        <f>CEILING('Revenue Buildup'!BK$6,Assumptions!BK$36)/Assumptions!BK$36</f>
        <v>1</v>
      </c>
      <c r="BL73" s="182">
        <f>CEILING('Revenue Buildup'!BL$6,Assumptions!BL$36)/Assumptions!BL$36</f>
        <v>1</v>
      </c>
      <c r="BM73" s="182">
        <f>CEILING('Revenue Buildup'!BM$6,Assumptions!BM$36)/Assumptions!BM$36</f>
        <v>1</v>
      </c>
      <c r="BN73" s="182">
        <f>CEILING('Revenue Buildup'!BN$6,Assumptions!BN$36)/Assumptions!BN$36</f>
        <v>1</v>
      </c>
      <c r="BO73" s="182">
        <f>CEILING('Revenue Buildup'!BO$6,Assumptions!BO$36)/Assumptions!BO$36</f>
        <v>1</v>
      </c>
      <c r="BP73" s="182">
        <f>CEILING('Revenue Buildup'!BP$6,Assumptions!BP$36)/Assumptions!BP$36</f>
        <v>1</v>
      </c>
      <c r="BQ73" s="182">
        <f>CEILING('Revenue Buildup'!BQ$6,Assumptions!BQ$36)/Assumptions!BQ$36</f>
        <v>1</v>
      </c>
      <c r="BR73" s="182">
        <f>CEILING('Revenue Buildup'!BR$6,Assumptions!BR$36)/Assumptions!BR$36</f>
        <v>1</v>
      </c>
      <c r="BS73" s="182">
        <f>CEILING('Revenue Buildup'!BS$6,Assumptions!BS$36)/Assumptions!BS$36</f>
        <v>1</v>
      </c>
      <c r="BT73" s="182">
        <f>CEILING('Revenue Buildup'!BT$6,Assumptions!BT$36)/Assumptions!BT$36</f>
        <v>1</v>
      </c>
      <c r="BU73" s="35"/>
    </row>
    <row r="74" spans="1:78">
      <c r="A74" s="144" t="str">
        <f>Assumptions!A37</f>
        <v>XYZ(For any additional role)</v>
      </c>
      <c r="M74" s="183">
        <f>Assumptions!M37</f>
        <v>0</v>
      </c>
      <c r="N74" s="183">
        <f>Assumptions!N37</f>
        <v>0</v>
      </c>
      <c r="O74" s="183">
        <f>Assumptions!O37</f>
        <v>0</v>
      </c>
      <c r="P74" s="183">
        <f>Assumptions!P37</f>
        <v>0</v>
      </c>
      <c r="Q74" s="183">
        <f>Assumptions!Q37</f>
        <v>0</v>
      </c>
      <c r="R74" s="183">
        <f>Assumptions!R37</f>
        <v>0</v>
      </c>
      <c r="S74" s="183">
        <f>Assumptions!S37</f>
        <v>0</v>
      </c>
      <c r="T74" s="183">
        <f>Assumptions!T37</f>
        <v>0</v>
      </c>
      <c r="U74" s="183">
        <f>Assumptions!U37</f>
        <v>0</v>
      </c>
      <c r="V74" s="183">
        <f>Assumptions!V37</f>
        <v>0</v>
      </c>
      <c r="W74" s="183">
        <f>Assumptions!W37</f>
        <v>0</v>
      </c>
      <c r="X74" s="183">
        <f>Assumptions!X37</f>
        <v>0</v>
      </c>
      <c r="Y74" s="183">
        <f>Assumptions!Y37</f>
        <v>0</v>
      </c>
      <c r="Z74" s="183">
        <f>Assumptions!Z37</f>
        <v>0</v>
      </c>
      <c r="AA74" s="183">
        <f>Assumptions!AA37</f>
        <v>0</v>
      </c>
      <c r="AB74" s="183">
        <f>Assumptions!AB37</f>
        <v>0</v>
      </c>
      <c r="AC74" s="183">
        <f>Assumptions!AC37</f>
        <v>0</v>
      </c>
      <c r="AD74" s="183">
        <f>Assumptions!AD37</f>
        <v>0</v>
      </c>
      <c r="AE74" s="183">
        <f>Assumptions!AE37</f>
        <v>0</v>
      </c>
      <c r="AF74" s="183">
        <f>Assumptions!AF37</f>
        <v>0</v>
      </c>
      <c r="AG74" s="183">
        <f>Assumptions!AG37</f>
        <v>0</v>
      </c>
      <c r="AH74" s="183">
        <f>Assumptions!AH37</f>
        <v>0</v>
      </c>
      <c r="AI74" s="183">
        <f>Assumptions!AI37</f>
        <v>0</v>
      </c>
      <c r="AJ74" s="183">
        <f>Assumptions!AJ37</f>
        <v>0</v>
      </c>
      <c r="AK74" s="183">
        <f>Assumptions!AK37</f>
        <v>0</v>
      </c>
      <c r="AL74" s="183">
        <f>Assumptions!AL37</f>
        <v>0</v>
      </c>
      <c r="AM74" s="183">
        <f>Assumptions!AM37</f>
        <v>0</v>
      </c>
      <c r="AN74" s="183">
        <f>Assumptions!AN37</f>
        <v>0</v>
      </c>
      <c r="AO74" s="183">
        <f>Assumptions!AO37</f>
        <v>0</v>
      </c>
      <c r="AP74" s="183">
        <f>Assumptions!AP37</f>
        <v>0</v>
      </c>
      <c r="AQ74" s="183">
        <f>Assumptions!AQ37</f>
        <v>0</v>
      </c>
      <c r="AR74" s="183">
        <f>Assumptions!AR37</f>
        <v>0</v>
      </c>
      <c r="AS74" s="183">
        <f>Assumptions!AS37</f>
        <v>0</v>
      </c>
      <c r="AT74" s="183">
        <f>Assumptions!AT37</f>
        <v>0</v>
      </c>
      <c r="AU74" s="183">
        <f>Assumptions!AU37</f>
        <v>0</v>
      </c>
      <c r="AV74" s="183">
        <f>Assumptions!AV37</f>
        <v>0</v>
      </c>
      <c r="AW74" s="183">
        <f>Assumptions!AW37</f>
        <v>0</v>
      </c>
      <c r="AX74" s="183">
        <f>Assumptions!AX37</f>
        <v>0</v>
      </c>
      <c r="AY74" s="183">
        <f>Assumptions!AY37</f>
        <v>0</v>
      </c>
      <c r="AZ74" s="183">
        <f>Assumptions!AZ37</f>
        <v>0</v>
      </c>
      <c r="BA74" s="183">
        <f>Assumptions!BA37</f>
        <v>0</v>
      </c>
      <c r="BB74" s="183">
        <f>Assumptions!BB37</f>
        <v>0</v>
      </c>
      <c r="BC74" s="183">
        <f>Assumptions!BC37</f>
        <v>0</v>
      </c>
      <c r="BD74" s="183">
        <f>Assumptions!BD37</f>
        <v>0</v>
      </c>
      <c r="BE74" s="183">
        <f>Assumptions!BE37</f>
        <v>0</v>
      </c>
      <c r="BF74" s="183">
        <f>Assumptions!BF37</f>
        <v>0</v>
      </c>
      <c r="BG74" s="183">
        <f>Assumptions!BG37</f>
        <v>0</v>
      </c>
      <c r="BH74" s="183">
        <f>Assumptions!BH37</f>
        <v>0</v>
      </c>
      <c r="BI74" s="183">
        <f>Assumptions!BI37</f>
        <v>0</v>
      </c>
      <c r="BJ74" s="183">
        <f>Assumptions!BJ37</f>
        <v>0</v>
      </c>
      <c r="BK74" s="183">
        <f>Assumptions!BK37</f>
        <v>0</v>
      </c>
      <c r="BL74" s="183">
        <f>Assumptions!BL37</f>
        <v>0</v>
      </c>
      <c r="BM74" s="183">
        <f>Assumptions!BM37</f>
        <v>0</v>
      </c>
      <c r="BN74" s="183">
        <f>Assumptions!BN37</f>
        <v>0</v>
      </c>
      <c r="BO74" s="183">
        <f>Assumptions!BO37</f>
        <v>0</v>
      </c>
      <c r="BP74" s="183">
        <f>Assumptions!BP37</f>
        <v>0</v>
      </c>
      <c r="BQ74" s="183">
        <f>Assumptions!BQ37</f>
        <v>0</v>
      </c>
      <c r="BR74" s="183">
        <f>Assumptions!BR37</f>
        <v>0</v>
      </c>
      <c r="BS74" s="183">
        <f>Assumptions!BS37</f>
        <v>0</v>
      </c>
      <c r="BT74" s="183">
        <f>Assumptions!BT37</f>
        <v>0</v>
      </c>
      <c r="BU74" s="35"/>
    </row>
    <row r="75" spans="1:78" ht="15.6">
      <c r="A75" s="78" t="s">
        <v>69</v>
      </c>
      <c r="M75" s="67">
        <f t="shared" ref="M75:AR75" si="46">SUM(M76:M81)</f>
        <v>0</v>
      </c>
      <c r="N75" s="67">
        <f t="shared" si="46"/>
        <v>0</v>
      </c>
      <c r="O75" s="67">
        <f t="shared" si="46"/>
        <v>0</v>
      </c>
      <c r="P75" s="67">
        <f t="shared" si="46"/>
        <v>0</v>
      </c>
      <c r="Q75" s="67">
        <f t="shared" si="46"/>
        <v>0</v>
      </c>
      <c r="R75" s="67">
        <f t="shared" si="46"/>
        <v>0</v>
      </c>
      <c r="S75" s="67">
        <f t="shared" si="46"/>
        <v>0</v>
      </c>
      <c r="T75" s="67">
        <f t="shared" si="46"/>
        <v>0</v>
      </c>
      <c r="U75" s="67">
        <f t="shared" si="46"/>
        <v>0</v>
      </c>
      <c r="V75" s="67">
        <f t="shared" si="46"/>
        <v>0</v>
      </c>
      <c r="W75" s="67">
        <f t="shared" si="46"/>
        <v>0</v>
      </c>
      <c r="X75" s="67">
        <f t="shared" si="46"/>
        <v>0</v>
      </c>
      <c r="Y75" s="67">
        <f t="shared" si="46"/>
        <v>0</v>
      </c>
      <c r="Z75" s="67">
        <f t="shared" si="46"/>
        <v>0</v>
      </c>
      <c r="AA75" s="67">
        <f t="shared" si="46"/>
        <v>0</v>
      </c>
      <c r="AB75" s="67">
        <f t="shared" si="46"/>
        <v>0</v>
      </c>
      <c r="AC75" s="67">
        <f t="shared" si="46"/>
        <v>0</v>
      </c>
      <c r="AD75" s="67">
        <f t="shared" si="46"/>
        <v>0</v>
      </c>
      <c r="AE75" s="67">
        <f t="shared" si="46"/>
        <v>0</v>
      </c>
      <c r="AF75" s="67">
        <f t="shared" si="46"/>
        <v>0</v>
      </c>
      <c r="AG75" s="67">
        <f t="shared" si="46"/>
        <v>0</v>
      </c>
      <c r="AH75" s="67">
        <f t="shared" si="46"/>
        <v>0</v>
      </c>
      <c r="AI75" s="67">
        <f t="shared" si="46"/>
        <v>0</v>
      </c>
      <c r="AJ75" s="67">
        <f t="shared" si="46"/>
        <v>0</v>
      </c>
      <c r="AK75" s="67">
        <f t="shared" si="46"/>
        <v>0</v>
      </c>
      <c r="AL75" s="67">
        <f t="shared" si="46"/>
        <v>0</v>
      </c>
      <c r="AM75" s="67">
        <f t="shared" si="46"/>
        <v>0</v>
      </c>
      <c r="AN75" s="67">
        <f t="shared" si="46"/>
        <v>0</v>
      </c>
      <c r="AO75" s="67">
        <f t="shared" si="46"/>
        <v>0</v>
      </c>
      <c r="AP75" s="67">
        <f t="shared" si="46"/>
        <v>0</v>
      </c>
      <c r="AQ75" s="67">
        <f t="shared" si="46"/>
        <v>0</v>
      </c>
      <c r="AR75" s="67">
        <f t="shared" si="46"/>
        <v>0</v>
      </c>
      <c r="AS75" s="67">
        <f t="shared" ref="AS75:BX75" si="47">SUM(AS76:AS81)</f>
        <v>0</v>
      </c>
      <c r="AT75" s="67">
        <f t="shared" si="47"/>
        <v>0</v>
      </c>
      <c r="AU75" s="67">
        <f t="shared" si="47"/>
        <v>0</v>
      </c>
      <c r="AV75" s="67">
        <f t="shared" si="47"/>
        <v>0</v>
      </c>
      <c r="AW75" s="67">
        <f t="shared" si="47"/>
        <v>0</v>
      </c>
      <c r="AX75" s="67">
        <f t="shared" si="47"/>
        <v>0</v>
      </c>
      <c r="AY75" s="67">
        <f t="shared" si="47"/>
        <v>0</v>
      </c>
      <c r="AZ75" s="67">
        <f t="shared" si="47"/>
        <v>0</v>
      </c>
      <c r="BA75" s="67">
        <f t="shared" si="47"/>
        <v>0</v>
      </c>
      <c r="BB75" s="67">
        <f t="shared" si="47"/>
        <v>0</v>
      </c>
      <c r="BC75" s="67">
        <f t="shared" si="47"/>
        <v>0</v>
      </c>
      <c r="BD75" s="67">
        <f t="shared" si="47"/>
        <v>0</v>
      </c>
      <c r="BE75" s="67">
        <f t="shared" si="47"/>
        <v>0</v>
      </c>
      <c r="BF75" s="67">
        <f t="shared" si="47"/>
        <v>0</v>
      </c>
      <c r="BG75" s="67">
        <f t="shared" si="47"/>
        <v>0</v>
      </c>
      <c r="BH75" s="67">
        <f t="shared" si="47"/>
        <v>0</v>
      </c>
      <c r="BI75" s="67">
        <f t="shared" si="47"/>
        <v>0</v>
      </c>
      <c r="BJ75" s="67">
        <f t="shared" si="47"/>
        <v>0</v>
      </c>
      <c r="BK75" s="67">
        <f t="shared" si="47"/>
        <v>0</v>
      </c>
      <c r="BL75" s="67">
        <f t="shared" si="47"/>
        <v>0</v>
      </c>
      <c r="BM75" s="67">
        <f t="shared" si="47"/>
        <v>0</v>
      </c>
      <c r="BN75" s="67">
        <f t="shared" si="47"/>
        <v>0</v>
      </c>
      <c r="BO75" s="67">
        <f t="shared" si="47"/>
        <v>0</v>
      </c>
      <c r="BP75" s="67">
        <f t="shared" si="47"/>
        <v>0</v>
      </c>
      <c r="BQ75" s="67">
        <f t="shared" si="47"/>
        <v>0</v>
      </c>
      <c r="BR75" s="67">
        <f t="shared" si="47"/>
        <v>0</v>
      </c>
      <c r="BS75" s="67">
        <f t="shared" si="47"/>
        <v>0</v>
      </c>
      <c r="BT75" s="67">
        <f t="shared" si="47"/>
        <v>0</v>
      </c>
      <c r="BU75" s="35"/>
      <c r="BV75" s="145">
        <f>INDEX($M75:$BT75,MATCH(BV$4,$M$4:$BT$4,0))</f>
        <v>0</v>
      </c>
      <c r="BW75" s="145">
        <f>INDEX($M75:$BT75,MATCH(BW$4,$M$4:$BT$4,0))</f>
        <v>0</v>
      </c>
      <c r="BX75" s="145">
        <f>INDEX($M75:$BT75,MATCH(BX$4,$M$4:$BT$4,0))</f>
        <v>0</v>
      </c>
      <c r="BY75" s="145">
        <f>INDEX($M75:$BT75,MATCH(BY$4,$M$4:$BT$4,0))</f>
        <v>0</v>
      </c>
      <c r="BZ75" s="145">
        <f>INDEX($M75:$BT75,MATCH(BZ$4,$M$4:$BT$4,0))</f>
        <v>0</v>
      </c>
    </row>
    <row r="76" spans="1:78">
      <c r="A76" s="144" t="str">
        <f>Assumptions!A44</f>
        <v>ABC</v>
      </c>
      <c r="M76" s="144">
        <f>Assumptions!M44</f>
        <v>0</v>
      </c>
      <c r="N76" s="144">
        <f>Assumptions!N44</f>
        <v>0</v>
      </c>
      <c r="O76" s="144">
        <f>Assumptions!O44</f>
        <v>0</v>
      </c>
      <c r="P76" s="144">
        <f>Assumptions!P44</f>
        <v>0</v>
      </c>
      <c r="Q76" s="144">
        <f>Assumptions!Q44</f>
        <v>0</v>
      </c>
      <c r="R76" s="144">
        <f>Assumptions!R44</f>
        <v>0</v>
      </c>
      <c r="S76" s="144">
        <f>Assumptions!S44</f>
        <v>0</v>
      </c>
      <c r="T76" s="144">
        <f>Assumptions!T44</f>
        <v>0</v>
      </c>
      <c r="U76" s="144">
        <f>Assumptions!U44</f>
        <v>0</v>
      </c>
      <c r="V76" s="144">
        <f>Assumptions!V44</f>
        <v>0</v>
      </c>
      <c r="W76" s="144">
        <f>Assumptions!W44</f>
        <v>0</v>
      </c>
      <c r="X76" s="144">
        <f>Assumptions!X44</f>
        <v>0</v>
      </c>
      <c r="Y76" s="144">
        <f>Assumptions!Y44</f>
        <v>0</v>
      </c>
      <c r="Z76" s="144">
        <f>Assumptions!Z44</f>
        <v>0</v>
      </c>
      <c r="AA76" s="144">
        <f>Assumptions!AA44</f>
        <v>0</v>
      </c>
      <c r="AB76" s="144">
        <f>Assumptions!AB44</f>
        <v>0</v>
      </c>
      <c r="AC76" s="144">
        <f>Assumptions!AC44</f>
        <v>0</v>
      </c>
      <c r="AD76" s="144">
        <f>Assumptions!AD44</f>
        <v>0</v>
      </c>
      <c r="AE76" s="144">
        <f>Assumptions!AE44</f>
        <v>0</v>
      </c>
      <c r="AF76" s="144">
        <f>Assumptions!AF44</f>
        <v>0</v>
      </c>
      <c r="AG76" s="144">
        <f>Assumptions!AG44</f>
        <v>0</v>
      </c>
      <c r="AH76" s="144">
        <f>Assumptions!AH44</f>
        <v>0</v>
      </c>
      <c r="AI76" s="144">
        <f>Assumptions!AI44</f>
        <v>0</v>
      </c>
      <c r="AJ76" s="144">
        <f>Assumptions!AJ44</f>
        <v>0</v>
      </c>
      <c r="AK76" s="144">
        <f>Assumptions!AK44</f>
        <v>0</v>
      </c>
      <c r="AL76" s="144">
        <f>Assumptions!AL44</f>
        <v>0</v>
      </c>
      <c r="AM76" s="144">
        <f>Assumptions!AM44</f>
        <v>0</v>
      </c>
      <c r="AN76" s="144">
        <f>Assumptions!AN44</f>
        <v>0</v>
      </c>
      <c r="AO76" s="144">
        <f>Assumptions!AO44</f>
        <v>0</v>
      </c>
      <c r="AP76" s="144">
        <f>Assumptions!AP44</f>
        <v>0</v>
      </c>
      <c r="AQ76" s="144">
        <f>Assumptions!AQ44</f>
        <v>0</v>
      </c>
      <c r="AR76" s="144">
        <f>Assumptions!AR44</f>
        <v>0</v>
      </c>
      <c r="AS76" s="144">
        <f>Assumptions!AS44</f>
        <v>0</v>
      </c>
      <c r="AT76" s="144">
        <f>Assumptions!AT44</f>
        <v>0</v>
      </c>
      <c r="AU76" s="144">
        <f>Assumptions!AU44</f>
        <v>0</v>
      </c>
      <c r="AV76" s="144">
        <f>Assumptions!AV44</f>
        <v>0</v>
      </c>
      <c r="AW76" s="144">
        <f>Assumptions!AW44</f>
        <v>0</v>
      </c>
      <c r="AX76" s="144">
        <f>Assumptions!AX44</f>
        <v>0</v>
      </c>
      <c r="AY76" s="144">
        <f>Assumptions!AY44</f>
        <v>0</v>
      </c>
      <c r="AZ76" s="144">
        <f>Assumptions!AZ44</f>
        <v>0</v>
      </c>
      <c r="BA76" s="144">
        <f>Assumptions!BA44</f>
        <v>0</v>
      </c>
      <c r="BB76" s="144">
        <f>Assumptions!BB44</f>
        <v>0</v>
      </c>
      <c r="BC76" s="144">
        <f>Assumptions!BC44</f>
        <v>0</v>
      </c>
      <c r="BD76" s="144">
        <f>Assumptions!BD44</f>
        <v>0</v>
      </c>
      <c r="BE76" s="144">
        <f>Assumptions!BE44</f>
        <v>0</v>
      </c>
      <c r="BF76" s="144">
        <f>Assumptions!BF44</f>
        <v>0</v>
      </c>
      <c r="BG76" s="144">
        <f>Assumptions!BG44</f>
        <v>0</v>
      </c>
      <c r="BH76" s="144">
        <f>Assumptions!BH44</f>
        <v>0</v>
      </c>
      <c r="BI76" s="144">
        <f>Assumptions!BI44</f>
        <v>0</v>
      </c>
      <c r="BJ76" s="144">
        <f>Assumptions!BJ44</f>
        <v>0</v>
      </c>
      <c r="BK76" s="144">
        <f>Assumptions!BK44</f>
        <v>0</v>
      </c>
      <c r="BL76" s="144">
        <f>Assumptions!BL44</f>
        <v>0</v>
      </c>
      <c r="BM76" s="144">
        <f>Assumptions!BM44</f>
        <v>0</v>
      </c>
      <c r="BN76" s="144">
        <f>Assumptions!BN44</f>
        <v>0</v>
      </c>
      <c r="BO76" s="144">
        <f>Assumptions!BO44</f>
        <v>0</v>
      </c>
      <c r="BP76" s="144">
        <f>Assumptions!BP44</f>
        <v>0</v>
      </c>
      <c r="BQ76" s="144">
        <f>Assumptions!BQ44</f>
        <v>0</v>
      </c>
      <c r="BR76" s="144">
        <f>Assumptions!BR44</f>
        <v>0</v>
      </c>
      <c r="BS76" s="144">
        <f>Assumptions!BS44</f>
        <v>0</v>
      </c>
      <c r="BT76" s="144">
        <f>Assumptions!BT44</f>
        <v>0</v>
      </c>
      <c r="BU76" s="35"/>
    </row>
    <row r="77" spans="1:78">
      <c r="A77" s="144" t="str">
        <f>Assumptions!A45</f>
        <v>ABC</v>
      </c>
      <c r="M77" s="144">
        <f>Assumptions!M45</f>
        <v>0</v>
      </c>
      <c r="N77" s="144">
        <f>Assumptions!N45</f>
        <v>0</v>
      </c>
      <c r="O77" s="144">
        <f>Assumptions!O45</f>
        <v>0</v>
      </c>
      <c r="P77" s="144">
        <f>Assumptions!P45</f>
        <v>0</v>
      </c>
      <c r="Q77" s="144">
        <f>Assumptions!Q45</f>
        <v>0</v>
      </c>
      <c r="R77" s="144">
        <f>Assumptions!R45</f>
        <v>0</v>
      </c>
      <c r="S77" s="144">
        <f>Assumptions!S45</f>
        <v>0</v>
      </c>
      <c r="T77" s="144">
        <f>Assumptions!T45</f>
        <v>0</v>
      </c>
      <c r="U77" s="144">
        <f>Assumptions!U45</f>
        <v>0</v>
      </c>
      <c r="V77" s="144">
        <f>Assumptions!V45</f>
        <v>0</v>
      </c>
      <c r="W77" s="144">
        <f>Assumptions!W45</f>
        <v>0</v>
      </c>
      <c r="X77" s="144">
        <f>Assumptions!X45</f>
        <v>0</v>
      </c>
      <c r="Y77" s="144">
        <f>Assumptions!Y45</f>
        <v>0</v>
      </c>
      <c r="Z77" s="144">
        <f>Assumptions!Z45</f>
        <v>0</v>
      </c>
      <c r="AA77" s="144">
        <f>Assumptions!AA45</f>
        <v>0</v>
      </c>
      <c r="AB77" s="144">
        <f>Assumptions!AB45</f>
        <v>0</v>
      </c>
      <c r="AC77" s="144">
        <f>Assumptions!AC45</f>
        <v>0</v>
      </c>
      <c r="AD77" s="144">
        <f>Assumptions!AD45</f>
        <v>0</v>
      </c>
      <c r="AE77" s="144">
        <f>Assumptions!AE45</f>
        <v>0</v>
      </c>
      <c r="AF77" s="144">
        <f>Assumptions!AF45</f>
        <v>0</v>
      </c>
      <c r="AG77" s="144">
        <f>Assumptions!AG45</f>
        <v>0</v>
      </c>
      <c r="AH77" s="144">
        <f>Assumptions!AH45</f>
        <v>0</v>
      </c>
      <c r="AI77" s="144">
        <f>Assumptions!AI45</f>
        <v>0</v>
      </c>
      <c r="AJ77" s="144">
        <f>Assumptions!AJ45</f>
        <v>0</v>
      </c>
      <c r="AK77" s="144">
        <f>Assumptions!AK45</f>
        <v>0</v>
      </c>
      <c r="AL77" s="144">
        <f>Assumptions!AL45</f>
        <v>0</v>
      </c>
      <c r="AM77" s="144">
        <f>Assumptions!AM45</f>
        <v>0</v>
      </c>
      <c r="AN77" s="144">
        <f>Assumptions!AN45</f>
        <v>0</v>
      </c>
      <c r="AO77" s="144">
        <f>Assumptions!AO45</f>
        <v>0</v>
      </c>
      <c r="AP77" s="144">
        <f>Assumptions!AP45</f>
        <v>0</v>
      </c>
      <c r="AQ77" s="144">
        <f>Assumptions!AQ45</f>
        <v>0</v>
      </c>
      <c r="AR77" s="144">
        <f>Assumptions!AR45</f>
        <v>0</v>
      </c>
      <c r="AS77" s="144">
        <f>Assumptions!AS45</f>
        <v>0</v>
      </c>
      <c r="AT77" s="144">
        <f>Assumptions!AT45</f>
        <v>0</v>
      </c>
      <c r="AU77" s="144">
        <f>Assumptions!AU45</f>
        <v>0</v>
      </c>
      <c r="AV77" s="144">
        <f>Assumptions!AV45</f>
        <v>0</v>
      </c>
      <c r="AW77" s="144">
        <f>Assumptions!AW45</f>
        <v>0</v>
      </c>
      <c r="AX77" s="144">
        <f>Assumptions!AX45</f>
        <v>0</v>
      </c>
      <c r="AY77" s="144">
        <f>Assumptions!AY45</f>
        <v>0</v>
      </c>
      <c r="AZ77" s="144">
        <f>Assumptions!AZ45</f>
        <v>0</v>
      </c>
      <c r="BA77" s="144">
        <f>Assumptions!BA45</f>
        <v>0</v>
      </c>
      <c r="BB77" s="144">
        <f>Assumptions!BB45</f>
        <v>0</v>
      </c>
      <c r="BC77" s="144">
        <f>Assumptions!BC45</f>
        <v>0</v>
      </c>
      <c r="BD77" s="144">
        <f>Assumptions!BD45</f>
        <v>0</v>
      </c>
      <c r="BE77" s="144">
        <f>Assumptions!BE45</f>
        <v>0</v>
      </c>
      <c r="BF77" s="144">
        <f>Assumptions!BF45</f>
        <v>0</v>
      </c>
      <c r="BG77" s="144">
        <f>Assumptions!BG45</f>
        <v>0</v>
      </c>
      <c r="BH77" s="144">
        <f>Assumptions!BH45</f>
        <v>0</v>
      </c>
      <c r="BI77" s="144">
        <f>Assumptions!BI45</f>
        <v>0</v>
      </c>
      <c r="BJ77" s="144">
        <f>Assumptions!BJ45</f>
        <v>0</v>
      </c>
      <c r="BK77" s="144">
        <f>Assumptions!BK45</f>
        <v>0</v>
      </c>
      <c r="BL77" s="144">
        <f>Assumptions!BL45</f>
        <v>0</v>
      </c>
      <c r="BM77" s="144">
        <f>Assumptions!BM45</f>
        <v>0</v>
      </c>
      <c r="BN77" s="144">
        <f>Assumptions!BN45</f>
        <v>0</v>
      </c>
      <c r="BO77" s="144">
        <f>Assumptions!BO45</f>
        <v>0</v>
      </c>
      <c r="BP77" s="144">
        <f>Assumptions!BP45</f>
        <v>0</v>
      </c>
      <c r="BQ77" s="144">
        <f>Assumptions!BQ45</f>
        <v>0</v>
      </c>
      <c r="BR77" s="144">
        <f>Assumptions!BR45</f>
        <v>0</v>
      </c>
      <c r="BS77" s="144">
        <f>Assumptions!BS45</f>
        <v>0</v>
      </c>
      <c r="BT77" s="144">
        <f>Assumptions!BT45</f>
        <v>0</v>
      </c>
      <c r="BU77" s="35"/>
    </row>
    <row r="78" spans="1:78">
      <c r="A78" s="144" t="str">
        <f>Assumptions!A46</f>
        <v>ABC</v>
      </c>
      <c r="M78" s="144">
        <f>Assumptions!M46</f>
        <v>0</v>
      </c>
      <c r="N78" s="144">
        <f>Assumptions!N46</f>
        <v>0</v>
      </c>
      <c r="O78" s="144">
        <f>Assumptions!O46</f>
        <v>0</v>
      </c>
      <c r="P78" s="144">
        <f>Assumptions!P46</f>
        <v>0</v>
      </c>
      <c r="Q78" s="144">
        <f>Assumptions!Q46</f>
        <v>0</v>
      </c>
      <c r="R78" s="144">
        <f>Assumptions!R46</f>
        <v>0</v>
      </c>
      <c r="S78" s="144">
        <f>Assumptions!S46</f>
        <v>0</v>
      </c>
      <c r="T78" s="144">
        <f>Assumptions!T46</f>
        <v>0</v>
      </c>
      <c r="U78" s="144">
        <f>Assumptions!U46</f>
        <v>0</v>
      </c>
      <c r="V78" s="144">
        <f>Assumptions!V46</f>
        <v>0</v>
      </c>
      <c r="W78" s="144">
        <f>Assumptions!W46</f>
        <v>0</v>
      </c>
      <c r="X78" s="144">
        <f>Assumptions!X46</f>
        <v>0</v>
      </c>
      <c r="Y78" s="144">
        <f>Assumptions!Y46</f>
        <v>0</v>
      </c>
      <c r="Z78" s="144">
        <f>Assumptions!Z46</f>
        <v>0</v>
      </c>
      <c r="AA78" s="144">
        <f>Assumptions!AA46</f>
        <v>0</v>
      </c>
      <c r="AB78" s="144">
        <f>Assumptions!AB46</f>
        <v>0</v>
      </c>
      <c r="AC78" s="144">
        <f>Assumptions!AC46</f>
        <v>0</v>
      </c>
      <c r="AD78" s="144">
        <f>Assumptions!AD46</f>
        <v>0</v>
      </c>
      <c r="AE78" s="144">
        <f>Assumptions!AE46</f>
        <v>0</v>
      </c>
      <c r="AF78" s="144">
        <f>Assumptions!AF46</f>
        <v>0</v>
      </c>
      <c r="AG78" s="144">
        <f>Assumptions!AG46</f>
        <v>0</v>
      </c>
      <c r="AH78" s="144">
        <f>Assumptions!AH46</f>
        <v>0</v>
      </c>
      <c r="AI78" s="144">
        <f>Assumptions!AI46</f>
        <v>0</v>
      </c>
      <c r="AJ78" s="144">
        <f>Assumptions!AJ46</f>
        <v>0</v>
      </c>
      <c r="AK78" s="144">
        <f>Assumptions!AK46</f>
        <v>0</v>
      </c>
      <c r="AL78" s="144">
        <f>Assumptions!AL46</f>
        <v>0</v>
      </c>
      <c r="AM78" s="144">
        <f>Assumptions!AM46</f>
        <v>0</v>
      </c>
      <c r="AN78" s="144">
        <f>Assumptions!AN46</f>
        <v>0</v>
      </c>
      <c r="AO78" s="144">
        <f>Assumptions!AO46</f>
        <v>0</v>
      </c>
      <c r="AP78" s="144">
        <f>Assumptions!AP46</f>
        <v>0</v>
      </c>
      <c r="AQ78" s="144">
        <f>Assumptions!AQ46</f>
        <v>0</v>
      </c>
      <c r="AR78" s="144">
        <f>Assumptions!AR46</f>
        <v>0</v>
      </c>
      <c r="AS78" s="144">
        <f>Assumptions!AS46</f>
        <v>0</v>
      </c>
      <c r="AT78" s="144">
        <f>Assumptions!AT46</f>
        <v>0</v>
      </c>
      <c r="AU78" s="144">
        <f>Assumptions!AU46</f>
        <v>0</v>
      </c>
      <c r="AV78" s="144">
        <f>Assumptions!AV46</f>
        <v>0</v>
      </c>
      <c r="AW78" s="144">
        <f>Assumptions!AW46</f>
        <v>0</v>
      </c>
      <c r="AX78" s="144">
        <f>Assumptions!AX46</f>
        <v>0</v>
      </c>
      <c r="AY78" s="144">
        <f>Assumptions!AY46</f>
        <v>0</v>
      </c>
      <c r="AZ78" s="144">
        <f>Assumptions!AZ46</f>
        <v>0</v>
      </c>
      <c r="BA78" s="144">
        <f>Assumptions!BA46</f>
        <v>0</v>
      </c>
      <c r="BB78" s="144">
        <f>Assumptions!BB46</f>
        <v>0</v>
      </c>
      <c r="BC78" s="144">
        <f>Assumptions!BC46</f>
        <v>0</v>
      </c>
      <c r="BD78" s="144">
        <f>Assumptions!BD46</f>
        <v>0</v>
      </c>
      <c r="BE78" s="144">
        <f>Assumptions!BE46</f>
        <v>0</v>
      </c>
      <c r="BF78" s="144">
        <f>Assumptions!BF46</f>
        <v>0</v>
      </c>
      <c r="BG78" s="144">
        <f>Assumptions!BG46</f>
        <v>0</v>
      </c>
      <c r="BH78" s="144">
        <f>Assumptions!BH46</f>
        <v>0</v>
      </c>
      <c r="BI78" s="144">
        <f>Assumptions!BI46</f>
        <v>0</v>
      </c>
      <c r="BJ78" s="144">
        <f>Assumptions!BJ46</f>
        <v>0</v>
      </c>
      <c r="BK78" s="144">
        <f>Assumptions!BK46</f>
        <v>0</v>
      </c>
      <c r="BL78" s="144">
        <f>Assumptions!BL46</f>
        <v>0</v>
      </c>
      <c r="BM78" s="144">
        <f>Assumptions!BM46</f>
        <v>0</v>
      </c>
      <c r="BN78" s="144">
        <f>Assumptions!BN46</f>
        <v>0</v>
      </c>
      <c r="BO78" s="144">
        <f>Assumptions!BO46</f>
        <v>0</v>
      </c>
      <c r="BP78" s="144">
        <f>Assumptions!BP46</f>
        <v>0</v>
      </c>
      <c r="BQ78" s="144">
        <f>Assumptions!BQ46</f>
        <v>0</v>
      </c>
      <c r="BR78" s="144">
        <f>Assumptions!BR46</f>
        <v>0</v>
      </c>
      <c r="BS78" s="144">
        <f>Assumptions!BS46</f>
        <v>0</v>
      </c>
      <c r="BT78" s="144">
        <f>Assumptions!BT46</f>
        <v>0</v>
      </c>
      <c r="BU78" s="35"/>
    </row>
    <row r="79" spans="1:78">
      <c r="A79" s="144" t="str">
        <f>Assumptions!A47</f>
        <v>ABC</v>
      </c>
      <c r="M79" s="144">
        <f>Assumptions!M47</f>
        <v>0</v>
      </c>
      <c r="N79" s="144">
        <f>Assumptions!N47</f>
        <v>0</v>
      </c>
      <c r="O79" s="144">
        <f>Assumptions!O47</f>
        <v>0</v>
      </c>
      <c r="P79" s="144">
        <f>Assumptions!P47</f>
        <v>0</v>
      </c>
      <c r="Q79" s="144">
        <f>Assumptions!Q47</f>
        <v>0</v>
      </c>
      <c r="R79" s="144">
        <f>Assumptions!R47</f>
        <v>0</v>
      </c>
      <c r="S79" s="144">
        <f>Assumptions!S47</f>
        <v>0</v>
      </c>
      <c r="T79" s="144">
        <f>Assumptions!T47</f>
        <v>0</v>
      </c>
      <c r="U79" s="144">
        <f>Assumptions!U47</f>
        <v>0</v>
      </c>
      <c r="V79" s="144">
        <f>Assumptions!V47</f>
        <v>0</v>
      </c>
      <c r="W79" s="144">
        <f>Assumptions!W47</f>
        <v>0</v>
      </c>
      <c r="X79" s="144">
        <f>Assumptions!X47</f>
        <v>0</v>
      </c>
      <c r="Y79" s="144">
        <f>Assumptions!Y47</f>
        <v>0</v>
      </c>
      <c r="Z79" s="144">
        <f>Assumptions!Z47</f>
        <v>0</v>
      </c>
      <c r="AA79" s="144">
        <f>Assumptions!AA47</f>
        <v>0</v>
      </c>
      <c r="AB79" s="144">
        <f>Assumptions!AB47</f>
        <v>0</v>
      </c>
      <c r="AC79" s="144">
        <f>Assumptions!AC47</f>
        <v>0</v>
      </c>
      <c r="AD79" s="144">
        <f>Assumptions!AD47</f>
        <v>0</v>
      </c>
      <c r="AE79" s="144">
        <f>Assumptions!AE47</f>
        <v>0</v>
      </c>
      <c r="AF79" s="144">
        <f>Assumptions!AF47</f>
        <v>0</v>
      </c>
      <c r="AG79" s="144">
        <f>Assumptions!AG47</f>
        <v>0</v>
      </c>
      <c r="AH79" s="144">
        <f>Assumptions!AH47</f>
        <v>0</v>
      </c>
      <c r="AI79" s="144">
        <f>Assumptions!AI47</f>
        <v>0</v>
      </c>
      <c r="AJ79" s="144">
        <f>Assumptions!AJ47</f>
        <v>0</v>
      </c>
      <c r="AK79" s="144">
        <f>Assumptions!AK47</f>
        <v>0</v>
      </c>
      <c r="AL79" s="144">
        <f>Assumptions!AL47</f>
        <v>0</v>
      </c>
      <c r="AM79" s="144">
        <f>Assumptions!AM47</f>
        <v>0</v>
      </c>
      <c r="AN79" s="144">
        <f>Assumptions!AN47</f>
        <v>0</v>
      </c>
      <c r="AO79" s="144">
        <f>Assumptions!AO47</f>
        <v>0</v>
      </c>
      <c r="AP79" s="144">
        <f>Assumptions!AP47</f>
        <v>0</v>
      </c>
      <c r="AQ79" s="144">
        <f>Assumptions!AQ47</f>
        <v>0</v>
      </c>
      <c r="AR79" s="144">
        <f>Assumptions!AR47</f>
        <v>0</v>
      </c>
      <c r="AS79" s="144">
        <f>Assumptions!AS47</f>
        <v>0</v>
      </c>
      <c r="AT79" s="144">
        <f>Assumptions!AT47</f>
        <v>0</v>
      </c>
      <c r="AU79" s="144">
        <f>Assumptions!AU47</f>
        <v>0</v>
      </c>
      <c r="AV79" s="144">
        <f>Assumptions!AV47</f>
        <v>0</v>
      </c>
      <c r="AW79" s="144">
        <f>Assumptions!AW47</f>
        <v>0</v>
      </c>
      <c r="AX79" s="144">
        <f>Assumptions!AX47</f>
        <v>0</v>
      </c>
      <c r="AY79" s="144">
        <f>Assumptions!AY47</f>
        <v>0</v>
      </c>
      <c r="AZ79" s="144">
        <f>Assumptions!AZ47</f>
        <v>0</v>
      </c>
      <c r="BA79" s="144">
        <f>Assumptions!BA47</f>
        <v>0</v>
      </c>
      <c r="BB79" s="144">
        <f>Assumptions!BB47</f>
        <v>0</v>
      </c>
      <c r="BC79" s="144">
        <f>Assumptions!BC47</f>
        <v>0</v>
      </c>
      <c r="BD79" s="144">
        <f>Assumptions!BD47</f>
        <v>0</v>
      </c>
      <c r="BE79" s="144">
        <f>Assumptions!BE47</f>
        <v>0</v>
      </c>
      <c r="BF79" s="144">
        <f>Assumptions!BF47</f>
        <v>0</v>
      </c>
      <c r="BG79" s="144">
        <f>Assumptions!BG47</f>
        <v>0</v>
      </c>
      <c r="BH79" s="144">
        <f>Assumptions!BH47</f>
        <v>0</v>
      </c>
      <c r="BI79" s="144">
        <f>Assumptions!BI47</f>
        <v>0</v>
      </c>
      <c r="BJ79" s="144">
        <f>Assumptions!BJ47</f>
        <v>0</v>
      </c>
      <c r="BK79" s="144">
        <f>Assumptions!BK47</f>
        <v>0</v>
      </c>
      <c r="BL79" s="144">
        <f>Assumptions!BL47</f>
        <v>0</v>
      </c>
      <c r="BM79" s="144">
        <f>Assumptions!BM47</f>
        <v>0</v>
      </c>
      <c r="BN79" s="144">
        <f>Assumptions!BN47</f>
        <v>0</v>
      </c>
      <c r="BO79" s="144">
        <f>Assumptions!BO47</f>
        <v>0</v>
      </c>
      <c r="BP79" s="144">
        <f>Assumptions!BP47</f>
        <v>0</v>
      </c>
      <c r="BQ79" s="144">
        <f>Assumptions!BQ47</f>
        <v>0</v>
      </c>
      <c r="BR79" s="144">
        <f>Assumptions!BR47</f>
        <v>0</v>
      </c>
      <c r="BS79" s="144">
        <f>Assumptions!BS47</f>
        <v>0</v>
      </c>
      <c r="BT79" s="144">
        <f>Assumptions!BT47</f>
        <v>0</v>
      </c>
      <c r="BU79" s="35"/>
    </row>
    <row r="80" spans="1:78">
      <c r="A80" s="144" t="str">
        <f>Assumptions!A48</f>
        <v>ABC</v>
      </c>
      <c r="M80" s="144">
        <f>Assumptions!M48</f>
        <v>0</v>
      </c>
      <c r="N80" s="144">
        <f>Assumptions!N48</f>
        <v>0</v>
      </c>
      <c r="O80" s="144">
        <f>Assumptions!O48</f>
        <v>0</v>
      </c>
      <c r="P80" s="144">
        <f>Assumptions!P48</f>
        <v>0</v>
      </c>
      <c r="Q80" s="144">
        <f>Assumptions!Q48</f>
        <v>0</v>
      </c>
      <c r="R80" s="144">
        <f>Assumptions!R48</f>
        <v>0</v>
      </c>
      <c r="S80" s="144">
        <f>Assumptions!S48</f>
        <v>0</v>
      </c>
      <c r="T80" s="144">
        <f>Assumptions!T48</f>
        <v>0</v>
      </c>
      <c r="U80" s="144">
        <f>Assumptions!U48</f>
        <v>0</v>
      </c>
      <c r="V80" s="144">
        <f>Assumptions!V48</f>
        <v>0</v>
      </c>
      <c r="W80" s="144">
        <f>Assumptions!W48</f>
        <v>0</v>
      </c>
      <c r="X80" s="144">
        <f>Assumptions!X48</f>
        <v>0</v>
      </c>
      <c r="Y80" s="144">
        <f>Assumptions!Y48</f>
        <v>0</v>
      </c>
      <c r="Z80" s="144">
        <f>Assumptions!Z48</f>
        <v>0</v>
      </c>
      <c r="AA80" s="144">
        <f>Assumptions!AA48</f>
        <v>0</v>
      </c>
      <c r="AB80" s="144">
        <f>Assumptions!AB48</f>
        <v>0</v>
      </c>
      <c r="AC80" s="144">
        <f>Assumptions!AC48</f>
        <v>0</v>
      </c>
      <c r="AD80" s="144">
        <f>Assumptions!AD48</f>
        <v>0</v>
      </c>
      <c r="AE80" s="144">
        <f>Assumptions!AE48</f>
        <v>0</v>
      </c>
      <c r="AF80" s="144">
        <f>Assumptions!AF48</f>
        <v>0</v>
      </c>
      <c r="AG80" s="144">
        <f>Assumptions!AG48</f>
        <v>0</v>
      </c>
      <c r="AH80" s="144">
        <f>Assumptions!AH48</f>
        <v>0</v>
      </c>
      <c r="AI80" s="144">
        <f>Assumptions!AI48</f>
        <v>0</v>
      </c>
      <c r="AJ80" s="144">
        <f>Assumptions!AJ48</f>
        <v>0</v>
      </c>
      <c r="AK80" s="144">
        <f>Assumptions!AK48</f>
        <v>0</v>
      </c>
      <c r="AL80" s="144">
        <f>Assumptions!AL48</f>
        <v>0</v>
      </c>
      <c r="AM80" s="144">
        <f>Assumptions!AM48</f>
        <v>0</v>
      </c>
      <c r="AN80" s="144">
        <f>Assumptions!AN48</f>
        <v>0</v>
      </c>
      <c r="AO80" s="144">
        <f>Assumptions!AO48</f>
        <v>0</v>
      </c>
      <c r="AP80" s="144">
        <f>Assumptions!AP48</f>
        <v>0</v>
      </c>
      <c r="AQ80" s="144">
        <f>Assumptions!AQ48</f>
        <v>0</v>
      </c>
      <c r="AR80" s="144">
        <f>Assumptions!AR48</f>
        <v>0</v>
      </c>
      <c r="AS80" s="144">
        <f>Assumptions!AS48</f>
        <v>0</v>
      </c>
      <c r="AT80" s="144">
        <f>Assumptions!AT48</f>
        <v>0</v>
      </c>
      <c r="AU80" s="144">
        <f>Assumptions!AU48</f>
        <v>0</v>
      </c>
      <c r="AV80" s="144">
        <f>Assumptions!AV48</f>
        <v>0</v>
      </c>
      <c r="AW80" s="144">
        <f>Assumptions!AW48</f>
        <v>0</v>
      </c>
      <c r="AX80" s="144">
        <f>Assumptions!AX48</f>
        <v>0</v>
      </c>
      <c r="AY80" s="144">
        <f>Assumptions!AY48</f>
        <v>0</v>
      </c>
      <c r="AZ80" s="144">
        <f>Assumptions!AZ48</f>
        <v>0</v>
      </c>
      <c r="BA80" s="144">
        <f>Assumptions!BA48</f>
        <v>0</v>
      </c>
      <c r="BB80" s="144">
        <f>Assumptions!BB48</f>
        <v>0</v>
      </c>
      <c r="BC80" s="144">
        <f>Assumptions!BC48</f>
        <v>0</v>
      </c>
      <c r="BD80" s="144">
        <f>Assumptions!BD48</f>
        <v>0</v>
      </c>
      <c r="BE80" s="144">
        <f>Assumptions!BE48</f>
        <v>0</v>
      </c>
      <c r="BF80" s="144">
        <f>Assumptions!BF48</f>
        <v>0</v>
      </c>
      <c r="BG80" s="144">
        <f>Assumptions!BG48</f>
        <v>0</v>
      </c>
      <c r="BH80" s="144">
        <f>Assumptions!BH48</f>
        <v>0</v>
      </c>
      <c r="BI80" s="144">
        <f>Assumptions!BI48</f>
        <v>0</v>
      </c>
      <c r="BJ80" s="144">
        <f>Assumptions!BJ48</f>
        <v>0</v>
      </c>
      <c r="BK80" s="144">
        <f>Assumptions!BK48</f>
        <v>0</v>
      </c>
      <c r="BL80" s="144">
        <f>Assumptions!BL48</f>
        <v>0</v>
      </c>
      <c r="BM80" s="144">
        <f>Assumptions!BM48</f>
        <v>0</v>
      </c>
      <c r="BN80" s="144">
        <f>Assumptions!BN48</f>
        <v>0</v>
      </c>
      <c r="BO80" s="144">
        <f>Assumptions!BO48</f>
        <v>0</v>
      </c>
      <c r="BP80" s="144">
        <f>Assumptions!BP48</f>
        <v>0</v>
      </c>
      <c r="BQ80" s="144">
        <f>Assumptions!BQ48</f>
        <v>0</v>
      </c>
      <c r="BR80" s="144">
        <f>Assumptions!BR48</f>
        <v>0</v>
      </c>
      <c r="BS80" s="144">
        <f>Assumptions!BS48</f>
        <v>0</v>
      </c>
      <c r="BT80" s="144">
        <f>Assumptions!BT48</f>
        <v>0</v>
      </c>
      <c r="BU80" s="35"/>
    </row>
    <row r="81" spans="1:78">
      <c r="A81" s="144" t="str">
        <f>Assumptions!A49</f>
        <v>ABC</v>
      </c>
      <c r="M81" s="144">
        <f>Assumptions!M49</f>
        <v>0</v>
      </c>
      <c r="N81" s="144">
        <f>Assumptions!N49</f>
        <v>0</v>
      </c>
      <c r="O81" s="144">
        <f>Assumptions!O49</f>
        <v>0</v>
      </c>
      <c r="P81" s="144">
        <f>Assumptions!P49</f>
        <v>0</v>
      </c>
      <c r="Q81" s="144">
        <f>Assumptions!Q49</f>
        <v>0</v>
      </c>
      <c r="R81" s="144">
        <f>Assumptions!R49</f>
        <v>0</v>
      </c>
      <c r="S81" s="144">
        <f>Assumptions!S49</f>
        <v>0</v>
      </c>
      <c r="T81" s="144">
        <f>Assumptions!T49</f>
        <v>0</v>
      </c>
      <c r="U81" s="144">
        <f>Assumptions!U49</f>
        <v>0</v>
      </c>
      <c r="V81" s="144">
        <f>Assumptions!V49</f>
        <v>0</v>
      </c>
      <c r="W81" s="144">
        <f>Assumptions!W49</f>
        <v>0</v>
      </c>
      <c r="X81" s="144">
        <f>Assumptions!X49</f>
        <v>0</v>
      </c>
      <c r="Y81" s="144">
        <f>Assumptions!Y49</f>
        <v>0</v>
      </c>
      <c r="Z81" s="144">
        <f>Assumptions!Z49</f>
        <v>0</v>
      </c>
      <c r="AA81" s="144">
        <f>Assumptions!AA49</f>
        <v>0</v>
      </c>
      <c r="AB81" s="144">
        <f>Assumptions!AB49</f>
        <v>0</v>
      </c>
      <c r="AC81" s="144">
        <f>Assumptions!AC49</f>
        <v>0</v>
      </c>
      <c r="AD81" s="144">
        <f>Assumptions!AD49</f>
        <v>0</v>
      </c>
      <c r="AE81" s="144">
        <f>Assumptions!AE49</f>
        <v>0</v>
      </c>
      <c r="AF81" s="144">
        <f>Assumptions!AF49</f>
        <v>0</v>
      </c>
      <c r="AG81" s="144">
        <f>Assumptions!AG49</f>
        <v>0</v>
      </c>
      <c r="AH81" s="144">
        <f>Assumptions!AH49</f>
        <v>0</v>
      </c>
      <c r="AI81" s="144">
        <f>Assumptions!AI49</f>
        <v>0</v>
      </c>
      <c r="AJ81" s="144">
        <f>Assumptions!AJ49</f>
        <v>0</v>
      </c>
      <c r="AK81" s="144">
        <f>Assumptions!AK49</f>
        <v>0</v>
      </c>
      <c r="AL81" s="144">
        <f>Assumptions!AL49</f>
        <v>0</v>
      </c>
      <c r="AM81" s="144">
        <f>Assumptions!AM49</f>
        <v>0</v>
      </c>
      <c r="AN81" s="144">
        <f>Assumptions!AN49</f>
        <v>0</v>
      </c>
      <c r="AO81" s="144">
        <f>Assumptions!AO49</f>
        <v>0</v>
      </c>
      <c r="AP81" s="144">
        <f>Assumptions!AP49</f>
        <v>0</v>
      </c>
      <c r="AQ81" s="144">
        <f>Assumptions!AQ49</f>
        <v>0</v>
      </c>
      <c r="AR81" s="144">
        <f>Assumptions!AR49</f>
        <v>0</v>
      </c>
      <c r="AS81" s="144">
        <f>Assumptions!AS49</f>
        <v>0</v>
      </c>
      <c r="AT81" s="144">
        <f>Assumptions!AT49</f>
        <v>0</v>
      </c>
      <c r="AU81" s="144">
        <f>Assumptions!AU49</f>
        <v>0</v>
      </c>
      <c r="AV81" s="144">
        <f>Assumptions!AV49</f>
        <v>0</v>
      </c>
      <c r="AW81" s="144">
        <f>Assumptions!AW49</f>
        <v>0</v>
      </c>
      <c r="AX81" s="144">
        <f>Assumptions!AX49</f>
        <v>0</v>
      </c>
      <c r="AY81" s="144">
        <f>Assumptions!AY49</f>
        <v>0</v>
      </c>
      <c r="AZ81" s="144">
        <f>Assumptions!AZ49</f>
        <v>0</v>
      </c>
      <c r="BA81" s="144">
        <f>Assumptions!BA49</f>
        <v>0</v>
      </c>
      <c r="BB81" s="144">
        <f>Assumptions!BB49</f>
        <v>0</v>
      </c>
      <c r="BC81" s="144">
        <f>Assumptions!BC49</f>
        <v>0</v>
      </c>
      <c r="BD81" s="144">
        <f>Assumptions!BD49</f>
        <v>0</v>
      </c>
      <c r="BE81" s="144">
        <f>Assumptions!BE49</f>
        <v>0</v>
      </c>
      <c r="BF81" s="144">
        <f>Assumptions!BF49</f>
        <v>0</v>
      </c>
      <c r="BG81" s="144">
        <f>Assumptions!BG49</f>
        <v>0</v>
      </c>
      <c r="BH81" s="144">
        <f>Assumptions!BH49</f>
        <v>0</v>
      </c>
      <c r="BI81" s="144">
        <f>Assumptions!BI49</f>
        <v>0</v>
      </c>
      <c r="BJ81" s="144">
        <f>Assumptions!BJ49</f>
        <v>0</v>
      </c>
      <c r="BK81" s="144">
        <f>Assumptions!BK49</f>
        <v>0</v>
      </c>
      <c r="BL81" s="144">
        <f>Assumptions!BL49</f>
        <v>0</v>
      </c>
      <c r="BM81" s="144">
        <f>Assumptions!BM49</f>
        <v>0</v>
      </c>
      <c r="BN81" s="144">
        <f>Assumptions!BN49</f>
        <v>0</v>
      </c>
      <c r="BO81" s="144">
        <f>Assumptions!BO49</f>
        <v>0</v>
      </c>
      <c r="BP81" s="144">
        <f>Assumptions!BP49</f>
        <v>0</v>
      </c>
      <c r="BQ81" s="144">
        <f>Assumptions!BQ49</f>
        <v>0</v>
      </c>
      <c r="BR81" s="144">
        <f>Assumptions!BR49</f>
        <v>0</v>
      </c>
      <c r="BS81" s="144">
        <f>Assumptions!BS49</f>
        <v>0</v>
      </c>
      <c r="BT81" s="144">
        <f>Assumptions!BT49</f>
        <v>0</v>
      </c>
      <c r="BU81" s="35"/>
    </row>
    <row r="82" spans="1:78" ht="15.6">
      <c r="A82" s="142" t="str">
        <f>Assumptions!A50</f>
        <v>G&amp;A</v>
      </c>
      <c r="M82" s="184">
        <f t="shared" ref="M82:AR82" si="48">SUM(M83:M87)</f>
        <v>4</v>
      </c>
      <c r="N82" s="184">
        <f t="shared" si="48"/>
        <v>4</v>
      </c>
      <c r="O82" s="184">
        <f t="shared" si="48"/>
        <v>4</v>
      </c>
      <c r="P82" s="184">
        <f t="shared" si="48"/>
        <v>4</v>
      </c>
      <c r="Q82" s="184">
        <f t="shared" si="48"/>
        <v>4</v>
      </c>
      <c r="R82" s="184">
        <f t="shared" si="48"/>
        <v>4</v>
      </c>
      <c r="S82" s="184">
        <f t="shared" si="48"/>
        <v>5</v>
      </c>
      <c r="T82" s="184">
        <f t="shared" si="48"/>
        <v>5</v>
      </c>
      <c r="U82" s="184">
        <f t="shared" si="48"/>
        <v>5</v>
      </c>
      <c r="V82" s="184">
        <f t="shared" si="48"/>
        <v>5</v>
      </c>
      <c r="W82" s="184">
        <f t="shared" si="48"/>
        <v>5</v>
      </c>
      <c r="X82" s="184">
        <f t="shared" si="48"/>
        <v>5</v>
      </c>
      <c r="Y82" s="184">
        <f t="shared" si="48"/>
        <v>7</v>
      </c>
      <c r="Z82" s="184">
        <f t="shared" si="48"/>
        <v>7</v>
      </c>
      <c r="AA82" s="184">
        <f t="shared" si="48"/>
        <v>7</v>
      </c>
      <c r="AB82" s="184">
        <f t="shared" si="48"/>
        <v>7</v>
      </c>
      <c r="AC82" s="184">
        <f t="shared" si="48"/>
        <v>7</v>
      </c>
      <c r="AD82" s="184">
        <f t="shared" si="48"/>
        <v>7</v>
      </c>
      <c r="AE82" s="184">
        <f t="shared" si="48"/>
        <v>7</v>
      </c>
      <c r="AF82" s="184">
        <f t="shared" si="48"/>
        <v>7</v>
      </c>
      <c r="AG82" s="184">
        <f t="shared" si="48"/>
        <v>7</v>
      </c>
      <c r="AH82" s="184">
        <f t="shared" si="48"/>
        <v>7</v>
      </c>
      <c r="AI82" s="184">
        <f t="shared" si="48"/>
        <v>7</v>
      </c>
      <c r="AJ82" s="184">
        <f t="shared" si="48"/>
        <v>7</v>
      </c>
      <c r="AK82" s="184">
        <f t="shared" si="48"/>
        <v>7</v>
      </c>
      <c r="AL82" s="184">
        <f t="shared" si="48"/>
        <v>7</v>
      </c>
      <c r="AM82" s="184">
        <f t="shared" si="48"/>
        <v>7</v>
      </c>
      <c r="AN82" s="184">
        <f t="shared" si="48"/>
        <v>7</v>
      </c>
      <c r="AO82" s="184">
        <f t="shared" si="48"/>
        <v>7</v>
      </c>
      <c r="AP82" s="184">
        <f t="shared" si="48"/>
        <v>7</v>
      </c>
      <c r="AQ82" s="184">
        <f t="shared" si="48"/>
        <v>7</v>
      </c>
      <c r="AR82" s="184">
        <f t="shared" si="48"/>
        <v>7</v>
      </c>
      <c r="AS82" s="184">
        <f t="shared" ref="AS82:BX82" si="49">SUM(AS83:AS87)</f>
        <v>7</v>
      </c>
      <c r="AT82" s="184">
        <f t="shared" si="49"/>
        <v>7</v>
      </c>
      <c r="AU82" s="184">
        <f t="shared" si="49"/>
        <v>7</v>
      </c>
      <c r="AV82" s="184">
        <f t="shared" si="49"/>
        <v>7</v>
      </c>
      <c r="AW82" s="184">
        <f t="shared" si="49"/>
        <v>7</v>
      </c>
      <c r="AX82" s="184">
        <f t="shared" si="49"/>
        <v>7</v>
      </c>
      <c r="AY82" s="184">
        <f t="shared" si="49"/>
        <v>7</v>
      </c>
      <c r="AZ82" s="184">
        <f t="shared" si="49"/>
        <v>7</v>
      </c>
      <c r="BA82" s="184">
        <f t="shared" si="49"/>
        <v>7</v>
      </c>
      <c r="BB82" s="184">
        <f t="shared" si="49"/>
        <v>7</v>
      </c>
      <c r="BC82" s="184">
        <f t="shared" si="49"/>
        <v>7</v>
      </c>
      <c r="BD82" s="184">
        <f t="shared" si="49"/>
        <v>7</v>
      </c>
      <c r="BE82" s="184">
        <f t="shared" si="49"/>
        <v>7</v>
      </c>
      <c r="BF82" s="184">
        <f t="shared" si="49"/>
        <v>7</v>
      </c>
      <c r="BG82" s="184">
        <f t="shared" si="49"/>
        <v>7</v>
      </c>
      <c r="BH82" s="184">
        <f t="shared" si="49"/>
        <v>7</v>
      </c>
      <c r="BI82" s="184">
        <f t="shared" si="49"/>
        <v>7</v>
      </c>
      <c r="BJ82" s="184">
        <f t="shared" si="49"/>
        <v>7</v>
      </c>
      <c r="BK82" s="184">
        <f t="shared" si="49"/>
        <v>7</v>
      </c>
      <c r="BL82" s="184">
        <f t="shared" si="49"/>
        <v>7</v>
      </c>
      <c r="BM82" s="184">
        <f t="shared" si="49"/>
        <v>7</v>
      </c>
      <c r="BN82" s="184">
        <f t="shared" si="49"/>
        <v>7</v>
      </c>
      <c r="BO82" s="184">
        <f t="shared" si="49"/>
        <v>7</v>
      </c>
      <c r="BP82" s="184">
        <f t="shared" si="49"/>
        <v>7</v>
      </c>
      <c r="BQ82" s="184">
        <f t="shared" si="49"/>
        <v>7</v>
      </c>
      <c r="BR82" s="184">
        <f t="shared" si="49"/>
        <v>7</v>
      </c>
      <c r="BS82" s="184">
        <f t="shared" si="49"/>
        <v>7</v>
      </c>
      <c r="BT82" s="184">
        <f t="shared" si="49"/>
        <v>7</v>
      </c>
      <c r="BU82" s="35"/>
      <c r="BV82" s="145">
        <f>INDEX($M82:$BT82,MATCH(BV$4,$M$4:$BT$4,0))</f>
        <v>5</v>
      </c>
      <c r="BW82" s="145">
        <f>INDEX($M82:$BT82,MATCH(BW$4,$M$4:$BT$4,0))</f>
        <v>7</v>
      </c>
      <c r="BX82" s="145">
        <f>INDEX($M82:$BT82,MATCH(BX$4,$M$4:$BT$4,0))</f>
        <v>7</v>
      </c>
      <c r="BY82" s="145">
        <f>INDEX($M82:$BT82,MATCH(BY$4,$M$4:$BT$4,0))</f>
        <v>7</v>
      </c>
      <c r="BZ82" s="145">
        <f>INDEX($M82:$BT82,MATCH(BZ$4,$M$4:$BT$4,0))</f>
        <v>7</v>
      </c>
    </row>
    <row r="83" spans="1:78">
      <c r="A83" s="144" t="str">
        <f>Assumptions!A55</f>
        <v>Account &amp; Finance</v>
      </c>
      <c r="M83" s="144">
        <f>Assumptions!M55</f>
        <v>1</v>
      </c>
      <c r="N83" s="144">
        <f>Assumptions!N55</f>
        <v>1</v>
      </c>
      <c r="O83" s="144">
        <f>Assumptions!O55</f>
        <v>1</v>
      </c>
      <c r="P83" s="144">
        <f>Assumptions!P55</f>
        <v>1</v>
      </c>
      <c r="Q83" s="144">
        <f>Assumptions!Q55</f>
        <v>1</v>
      </c>
      <c r="R83" s="144">
        <f>Assumptions!R55</f>
        <v>1</v>
      </c>
      <c r="S83" s="144">
        <f>Assumptions!S55</f>
        <v>1</v>
      </c>
      <c r="T83" s="144">
        <f>Assumptions!T55</f>
        <v>1</v>
      </c>
      <c r="U83" s="144">
        <f>Assumptions!U55</f>
        <v>1</v>
      </c>
      <c r="V83" s="144">
        <f>Assumptions!V55</f>
        <v>1</v>
      </c>
      <c r="W83" s="144">
        <f>Assumptions!W55</f>
        <v>1</v>
      </c>
      <c r="X83" s="144">
        <f>Assumptions!X55</f>
        <v>1</v>
      </c>
      <c r="Y83" s="144">
        <f>Assumptions!Y55</f>
        <v>2</v>
      </c>
      <c r="Z83" s="144">
        <f>Assumptions!Z55</f>
        <v>2</v>
      </c>
      <c r="AA83" s="144">
        <f>Assumptions!AA55</f>
        <v>2</v>
      </c>
      <c r="AB83" s="144">
        <f>Assumptions!AB55</f>
        <v>2</v>
      </c>
      <c r="AC83" s="144">
        <f>Assumptions!AC55</f>
        <v>2</v>
      </c>
      <c r="AD83" s="144">
        <f>Assumptions!AD55</f>
        <v>2</v>
      </c>
      <c r="AE83" s="144">
        <f>Assumptions!AE55</f>
        <v>2</v>
      </c>
      <c r="AF83" s="144">
        <f>Assumptions!AF55</f>
        <v>2</v>
      </c>
      <c r="AG83" s="144">
        <f>Assumptions!AG55</f>
        <v>2</v>
      </c>
      <c r="AH83" s="144">
        <f>Assumptions!AH55</f>
        <v>2</v>
      </c>
      <c r="AI83" s="144">
        <f>Assumptions!AI55</f>
        <v>2</v>
      </c>
      <c r="AJ83" s="144">
        <f>Assumptions!AJ55</f>
        <v>2</v>
      </c>
      <c r="AK83" s="144">
        <f>Assumptions!AK55</f>
        <v>2</v>
      </c>
      <c r="AL83" s="144">
        <f>Assumptions!AL55</f>
        <v>2</v>
      </c>
      <c r="AM83" s="144">
        <f>Assumptions!AM55</f>
        <v>2</v>
      </c>
      <c r="AN83" s="144">
        <f>Assumptions!AN55</f>
        <v>2</v>
      </c>
      <c r="AO83" s="144">
        <f>Assumptions!AO55</f>
        <v>2</v>
      </c>
      <c r="AP83" s="144">
        <f>Assumptions!AP55</f>
        <v>2</v>
      </c>
      <c r="AQ83" s="144">
        <f>Assumptions!AQ55</f>
        <v>2</v>
      </c>
      <c r="AR83" s="144">
        <f>Assumptions!AR55</f>
        <v>2</v>
      </c>
      <c r="AS83" s="144">
        <f>Assumptions!AS55</f>
        <v>2</v>
      </c>
      <c r="AT83" s="144">
        <f>Assumptions!AT55</f>
        <v>2</v>
      </c>
      <c r="AU83" s="144">
        <f>Assumptions!AU55</f>
        <v>2</v>
      </c>
      <c r="AV83" s="144">
        <f>Assumptions!AV55</f>
        <v>2</v>
      </c>
      <c r="AW83" s="144">
        <f>Assumptions!AW55</f>
        <v>2</v>
      </c>
      <c r="AX83" s="144">
        <f>Assumptions!AX55</f>
        <v>2</v>
      </c>
      <c r="AY83" s="144">
        <f>Assumptions!AY55</f>
        <v>2</v>
      </c>
      <c r="AZ83" s="144">
        <f>Assumptions!AZ55</f>
        <v>2</v>
      </c>
      <c r="BA83" s="144">
        <f>Assumptions!BA55</f>
        <v>2</v>
      </c>
      <c r="BB83" s="144">
        <f>Assumptions!BB55</f>
        <v>2</v>
      </c>
      <c r="BC83" s="144">
        <f>Assumptions!BC55</f>
        <v>2</v>
      </c>
      <c r="BD83" s="144">
        <f>Assumptions!BD55</f>
        <v>2</v>
      </c>
      <c r="BE83" s="144">
        <f>Assumptions!BE55</f>
        <v>2</v>
      </c>
      <c r="BF83" s="144">
        <f>Assumptions!BF55</f>
        <v>2</v>
      </c>
      <c r="BG83" s="144">
        <f>Assumptions!BG55</f>
        <v>2</v>
      </c>
      <c r="BH83" s="144">
        <f>Assumptions!BH55</f>
        <v>2</v>
      </c>
      <c r="BI83" s="144">
        <f>Assumptions!BI55</f>
        <v>2</v>
      </c>
      <c r="BJ83" s="144">
        <f>Assumptions!BJ55</f>
        <v>2</v>
      </c>
      <c r="BK83" s="144">
        <f>Assumptions!BK55</f>
        <v>2</v>
      </c>
      <c r="BL83" s="144">
        <f>Assumptions!BL55</f>
        <v>2</v>
      </c>
      <c r="BM83" s="144">
        <f>Assumptions!BM55</f>
        <v>2</v>
      </c>
      <c r="BN83" s="144">
        <f>Assumptions!BN55</f>
        <v>2</v>
      </c>
      <c r="BO83" s="144">
        <f>Assumptions!BO55</f>
        <v>2</v>
      </c>
      <c r="BP83" s="144">
        <f>Assumptions!BP55</f>
        <v>2</v>
      </c>
      <c r="BQ83" s="144">
        <f>Assumptions!BQ55</f>
        <v>2</v>
      </c>
      <c r="BR83" s="144">
        <f>Assumptions!BR55</f>
        <v>2</v>
      </c>
      <c r="BS83" s="144">
        <f>Assumptions!BS55</f>
        <v>2</v>
      </c>
      <c r="BT83" s="144">
        <f>Assumptions!BT55</f>
        <v>2</v>
      </c>
      <c r="BU83" s="35"/>
    </row>
    <row r="84" spans="1:78">
      <c r="A84" s="144" t="str">
        <f>Assumptions!A56</f>
        <v>Legal</v>
      </c>
      <c r="M84" s="144">
        <f>Assumptions!M56</f>
        <v>1</v>
      </c>
      <c r="N84" s="144">
        <f>Assumptions!N56</f>
        <v>1</v>
      </c>
      <c r="O84" s="144">
        <f>Assumptions!O56</f>
        <v>1</v>
      </c>
      <c r="P84" s="144">
        <f>Assumptions!P56</f>
        <v>1</v>
      </c>
      <c r="Q84" s="144">
        <f>Assumptions!Q56</f>
        <v>1</v>
      </c>
      <c r="R84" s="144">
        <f>Assumptions!R56</f>
        <v>1</v>
      </c>
      <c r="S84" s="144">
        <f>Assumptions!S56</f>
        <v>1</v>
      </c>
      <c r="T84" s="144">
        <f>Assumptions!T56</f>
        <v>1</v>
      </c>
      <c r="U84" s="144">
        <f>Assumptions!U56</f>
        <v>1</v>
      </c>
      <c r="V84" s="144">
        <f>Assumptions!V56</f>
        <v>1</v>
      </c>
      <c r="W84" s="144">
        <f>Assumptions!W56</f>
        <v>1</v>
      </c>
      <c r="X84" s="144">
        <f>Assumptions!X56</f>
        <v>1</v>
      </c>
      <c r="Y84" s="144">
        <f>Assumptions!Y56</f>
        <v>2</v>
      </c>
      <c r="Z84" s="144">
        <f>Assumptions!Z56</f>
        <v>2</v>
      </c>
      <c r="AA84" s="144">
        <f>Assumptions!AA56</f>
        <v>2</v>
      </c>
      <c r="AB84" s="144">
        <f>Assumptions!AB56</f>
        <v>2</v>
      </c>
      <c r="AC84" s="144">
        <f>Assumptions!AC56</f>
        <v>2</v>
      </c>
      <c r="AD84" s="144">
        <f>Assumptions!AD56</f>
        <v>2</v>
      </c>
      <c r="AE84" s="144">
        <f>Assumptions!AE56</f>
        <v>2</v>
      </c>
      <c r="AF84" s="144">
        <f>Assumptions!AF56</f>
        <v>2</v>
      </c>
      <c r="AG84" s="144">
        <f>Assumptions!AG56</f>
        <v>2</v>
      </c>
      <c r="AH84" s="144">
        <f>Assumptions!AH56</f>
        <v>2</v>
      </c>
      <c r="AI84" s="144">
        <f>Assumptions!AI56</f>
        <v>2</v>
      </c>
      <c r="AJ84" s="144">
        <f>Assumptions!AJ56</f>
        <v>2</v>
      </c>
      <c r="AK84" s="144">
        <f>Assumptions!AK56</f>
        <v>2</v>
      </c>
      <c r="AL84" s="144">
        <f>Assumptions!AL56</f>
        <v>2</v>
      </c>
      <c r="AM84" s="144">
        <f>Assumptions!AM56</f>
        <v>2</v>
      </c>
      <c r="AN84" s="144">
        <f>Assumptions!AN56</f>
        <v>2</v>
      </c>
      <c r="AO84" s="144">
        <f>Assumptions!AO56</f>
        <v>2</v>
      </c>
      <c r="AP84" s="144">
        <f>Assumptions!AP56</f>
        <v>2</v>
      </c>
      <c r="AQ84" s="144">
        <f>Assumptions!AQ56</f>
        <v>2</v>
      </c>
      <c r="AR84" s="144">
        <f>Assumptions!AR56</f>
        <v>2</v>
      </c>
      <c r="AS84" s="144">
        <f>Assumptions!AS56</f>
        <v>2</v>
      </c>
      <c r="AT84" s="144">
        <f>Assumptions!AT56</f>
        <v>2</v>
      </c>
      <c r="AU84" s="144">
        <f>Assumptions!AU56</f>
        <v>2</v>
      </c>
      <c r="AV84" s="144">
        <f>Assumptions!AV56</f>
        <v>2</v>
      </c>
      <c r="AW84" s="144">
        <f>Assumptions!AW56</f>
        <v>2</v>
      </c>
      <c r="AX84" s="144">
        <f>Assumptions!AX56</f>
        <v>2</v>
      </c>
      <c r="AY84" s="144">
        <f>Assumptions!AY56</f>
        <v>2</v>
      </c>
      <c r="AZ84" s="144">
        <f>Assumptions!AZ56</f>
        <v>2</v>
      </c>
      <c r="BA84" s="144">
        <f>Assumptions!BA56</f>
        <v>2</v>
      </c>
      <c r="BB84" s="144">
        <f>Assumptions!BB56</f>
        <v>2</v>
      </c>
      <c r="BC84" s="144">
        <f>Assumptions!BC56</f>
        <v>2</v>
      </c>
      <c r="BD84" s="144">
        <f>Assumptions!BD56</f>
        <v>2</v>
      </c>
      <c r="BE84" s="144">
        <f>Assumptions!BE56</f>
        <v>2</v>
      </c>
      <c r="BF84" s="144">
        <f>Assumptions!BF56</f>
        <v>2</v>
      </c>
      <c r="BG84" s="144">
        <f>Assumptions!BG56</f>
        <v>2</v>
      </c>
      <c r="BH84" s="144">
        <f>Assumptions!BH56</f>
        <v>2</v>
      </c>
      <c r="BI84" s="144">
        <f>Assumptions!BI56</f>
        <v>2</v>
      </c>
      <c r="BJ84" s="144">
        <f>Assumptions!BJ56</f>
        <v>2</v>
      </c>
      <c r="BK84" s="144">
        <f>Assumptions!BK56</f>
        <v>2</v>
      </c>
      <c r="BL84" s="144">
        <f>Assumptions!BL56</f>
        <v>2</v>
      </c>
      <c r="BM84" s="144">
        <f>Assumptions!BM56</f>
        <v>2</v>
      </c>
      <c r="BN84" s="144">
        <f>Assumptions!BN56</f>
        <v>2</v>
      </c>
      <c r="BO84" s="144">
        <f>Assumptions!BO56</f>
        <v>2</v>
      </c>
      <c r="BP84" s="144">
        <f>Assumptions!BP56</f>
        <v>2</v>
      </c>
      <c r="BQ84" s="144">
        <f>Assumptions!BQ56</f>
        <v>2</v>
      </c>
      <c r="BR84" s="144">
        <f>Assumptions!BR56</f>
        <v>2</v>
      </c>
      <c r="BS84" s="144">
        <f>Assumptions!BS56</f>
        <v>2</v>
      </c>
      <c r="BT84" s="144">
        <f>Assumptions!BT56</f>
        <v>2</v>
      </c>
      <c r="BU84" s="35"/>
    </row>
    <row r="85" spans="1:78">
      <c r="A85" s="144" t="str">
        <f>Assumptions!A57</f>
        <v>HR</v>
      </c>
      <c r="M85" s="144">
        <f>Assumptions!M57</f>
        <v>0</v>
      </c>
      <c r="N85" s="144">
        <f>Assumptions!N57</f>
        <v>0</v>
      </c>
      <c r="O85" s="144">
        <f>Assumptions!O57</f>
        <v>0</v>
      </c>
      <c r="P85" s="144">
        <f>Assumptions!P57</f>
        <v>0</v>
      </c>
      <c r="Q85" s="144">
        <f>Assumptions!Q57</f>
        <v>0</v>
      </c>
      <c r="R85" s="144">
        <f>Assumptions!R57</f>
        <v>0</v>
      </c>
      <c r="S85" s="144">
        <f>Assumptions!S57</f>
        <v>1</v>
      </c>
      <c r="T85" s="144">
        <f>Assumptions!T57</f>
        <v>1</v>
      </c>
      <c r="U85" s="144">
        <f>Assumptions!U57</f>
        <v>1</v>
      </c>
      <c r="V85" s="144">
        <f>Assumptions!V57</f>
        <v>1</v>
      </c>
      <c r="W85" s="144">
        <f>Assumptions!W57</f>
        <v>1</v>
      </c>
      <c r="X85" s="144">
        <f>Assumptions!X57</f>
        <v>1</v>
      </c>
      <c r="Y85" s="144">
        <f>Assumptions!Y57</f>
        <v>1</v>
      </c>
      <c r="Z85" s="144">
        <f>Assumptions!Z57</f>
        <v>1</v>
      </c>
      <c r="AA85" s="144">
        <f>Assumptions!AA57</f>
        <v>1</v>
      </c>
      <c r="AB85" s="144">
        <f>Assumptions!AB57</f>
        <v>1</v>
      </c>
      <c r="AC85" s="144">
        <f>Assumptions!AC57</f>
        <v>1</v>
      </c>
      <c r="AD85" s="144">
        <f>Assumptions!AD57</f>
        <v>1</v>
      </c>
      <c r="AE85" s="144">
        <f>Assumptions!AE57</f>
        <v>1</v>
      </c>
      <c r="AF85" s="144">
        <f>Assumptions!AF57</f>
        <v>1</v>
      </c>
      <c r="AG85" s="144">
        <f>Assumptions!AG57</f>
        <v>1</v>
      </c>
      <c r="AH85" s="144">
        <f>Assumptions!AH57</f>
        <v>1</v>
      </c>
      <c r="AI85" s="144">
        <f>Assumptions!AI57</f>
        <v>1</v>
      </c>
      <c r="AJ85" s="144">
        <f>Assumptions!AJ57</f>
        <v>1</v>
      </c>
      <c r="AK85" s="144">
        <f>Assumptions!AK57</f>
        <v>1</v>
      </c>
      <c r="AL85" s="144">
        <f>Assumptions!AL57</f>
        <v>1</v>
      </c>
      <c r="AM85" s="144">
        <f>Assumptions!AM57</f>
        <v>1</v>
      </c>
      <c r="AN85" s="144">
        <f>Assumptions!AN57</f>
        <v>1</v>
      </c>
      <c r="AO85" s="144">
        <f>Assumptions!AO57</f>
        <v>1</v>
      </c>
      <c r="AP85" s="144">
        <f>Assumptions!AP57</f>
        <v>1</v>
      </c>
      <c r="AQ85" s="144">
        <f>Assumptions!AQ57</f>
        <v>1</v>
      </c>
      <c r="AR85" s="144">
        <f>Assumptions!AR57</f>
        <v>1</v>
      </c>
      <c r="AS85" s="144">
        <f>Assumptions!AS57</f>
        <v>1</v>
      </c>
      <c r="AT85" s="144">
        <f>Assumptions!AT57</f>
        <v>1</v>
      </c>
      <c r="AU85" s="144">
        <f>Assumptions!AU57</f>
        <v>1</v>
      </c>
      <c r="AV85" s="144">
        <f>Assumptions!AV57</f>
        <v>1</v>
      </c>
      <c r="AW85" s="144">
        <f>Assumptions!AW57</f>
        <v>1</v>
      </c>
      <c r="AX85" s="144">
        <f>Assumptions!AX57</f>
        <v>1</v>
      </c>
      <c r="AY85" s="144">
        <f>Assumptions!AY57</f>
        <v>1</v>
      </c>
      <c r="AZ85" s="144">
        <f>Assumptions!AZ57</f>
        <v>1</v>
      </c>
      <c r="BA85" s="144">
        <f>Assumptions!BA57</f>
        <v>1</v>
      </c>
      <c r="BB85" s="144">
        <f>Assumptions!BB57</f>
        <v>1</v>
      </c>
      <c r="BC85" s="144">
        <f>Assumptions!BC57</f>
        <v>1</v>
      </c>
      <c r="BD85" s="144">
        <f>Assumptions!BD57</f>
        <v>1</v>
      </c>
      <c r="BE85" s="144">
        <f>Assumptions!BE57</f>
        <v>1</v>
      </c>
      <c r="BF85" s="144">
        <f>Assumptions!BF57</f>
        <v>1</v>
      </c>
      <c r="BG85" s="144">
        <f>Assumptions!BG57</f>
        <v>1</v>
      </c>
      <c r="BH85" s="144">
        <f>Assumptions!BH57</f>
        <v>1</v>
      </c>
      <c r="BI85" s="144">
        <f>Assumptions!BI57</f>
        <v>1</v>
      </c>
      <c r="BJ85" s="144">
        <f>Assumptions!BJ57</f>
        <v>1</v>
      </c>
      <c r="BK85" s="144">
        <f>Assumptions!BK57</f>
        <v>1</v>
      </c>
      <c r="BL85" s="144">
        <f>Assumptions!BL57</f>
        <v>1</v>
      </c>
      <c r="BM85" s="144">
        <f>Assumptions!BM57</f>
        <v>1</v>
      </c>
      <c r="BN85" s="144">
        <f>Assumptions!BN57</f>
        <v>1</v>
      </c>
      <c r="BO85" s="144">
        <f>Assumptions!BO57</f>
        <v>1</v>
      </c>
      <c r="BP85" s="144">
        <f>Assumptions!BP57</f>
        <v>1</v>
      </c>
      <c r="BQ85" s="144">
        <f>Assumptions!BQ57</f>
        <v>1</v>
      </c>
      <c r="BR85" s="144">
        <f>Assumptions!BR57</f>
        <v>1</v>
      </c>
      <c r="BS85" s="144">
        <f>Assumptions!BS57</f>
        <v>1</v>
      </c>
      <c r="BT85" s="144">
        <f>Assumptions!BT57</f>
        <v>1</v>
      </c>
      <c r="BU85" s="35"/>
    </row>
    <row r="86" spans="1:78">
      <c r="A86" s="144" t="str">
        <f>Assumptions!A58</f>
        <v xml:space="preserve">Management-Co-Found </v>
      </c>
      <c r="M86" s="144">
        <f>Assumptions!M58</f>
        <v>1</v>
      </c>
      <c r="N86" s="144">
        <f>Assumptions!N58</f>
        <v>1</v>
      </c>
      <c r="O86" s="144">
        <f>Assumptions!O58</f>
        <v>1</v>
      </c>
      <c r="P86" s="144">
        <f>Assumptions!P58</f>
        <v>1</v>
      </c>
      <c r="Q86" s="144">
        <f>Assumptions!Q58</f>
        <v>1</v>
      </c>
      <c r="R86" s="144">
        <f>Assumptions!R58</f>
        <v>1</v>
      </c>
      <c r="S86" s="144">
        <f>Assumptions!S58</f>
        <v>1</v>
      </c>
      <c r="T86" s="144">
        <f>Assumptions!T58</f>
        <v>1</v>
      </c>
      <c r="U86" s="144">
        <f>Assumptions!U58</f>
        <v>1</v>
      </c>
      <c r="V86" s="144">
        <f>Assumptions!V58</f>
        <v>1</v>
      </c>
      <c r="W86" s="144">
        <f>Assumptions!W58</f>
        <v>1</v>
      </c>
      <c r="X86" s="144">
        <f>Assumptions!X58</f>
        <v>1</v>
      </c>
      <c r="Y86" s="144">
        <f>Assumptions!Y58</f>
        <v>1</v>
      </c>
      <c r="Z86" s="144">
        <f>Assumptions!Z58</f>
        <v>1</v>
      </c>
      <c r="AA86" s="144">
        <f>Assumptions!AA58</f>
        <v>1</v>
      </c>
      <c r="AB86" s="144">
        <f>Assumptions!AB58</f>
        <v>1</v>
      </c>
      <c r="AC86" s="144">
        <f>Assumptions!AC58</f>
        <v>1</v>
      </c>
      <c r="AD86" s="144">
        <f>Assumptions!AD58</f>
        <v>1</v>
      </c>
      <c r="AE86" s="144">
        <f>Assumptions!AE58</f>
        <v>1</v>
      </c>
      <c r="AF86" s="144">
        <f>Assumptions!AF58</f>
        <v>1</v>
      </c>
      <c r="AG86" s="144">
        <f>Assumptions!AG58</f>
        <v>1</v>
      </c>
      <c r="AH86" s="144">
        <f>Assumptions!AH58</f>
        <v>1</v>
      </c>
      <c r="AI86" s="144">
        <f>Assumptions!AI58</f>
        <v>1</v>
      </c>
      <c r="AJ86" s="144">
        <f>Assumptions!AJ58</f>
        <v>1</v>
      </c>
      <c r="AK86" s="144">
        <f>Assumptions!AK58</f>
        <v>1</v>
      </c>
      <c r="AL86" s="144">
        <f>Assumptions!AL58</f>
        <v>1</v>
      </c>
      <c r="AM86" s="144">
        <f>Assumptions!AM58</f>
        <v>1</v>
      </c>
      <c r="AN86" s="144">
        <f>Assumptions!AN58</f>
        <v>1</v>
      </c>
      <c r="AO86" s="144">
        <f>Assumptions!AO58</f>
        <v>1</v>
      </c>
      <c r="AP86" s="144">
        <f>Assumptions!AP58</f>
        <v>1</v>
      </c>
      <c r="AQ86" s="144">
        <f>Assumptions!AQ58</f>
        <v>1</v>
      </c>
      <c r="AR86" s="144">
        <f>Assumptions!AR58</f>
        <v>1</v>
      </c>
      <c r="AS86" s="144">
        <f>Assumptions!AS58</f>
        <v>1</v>
      </c>
      <c r="AT86" s="144">
        <f>Assumptions!AT58</f>
        <v>1</v>
      </c>
      <c r="AU86" s="144">
        <f>Assumptions!AU58</f>
        <v>1</v>
      </c>
      <c r="AV86" s="144">
        <f>Assumptions!AV58</f>
        <v>1</v>
      </c>
      <c r="AW86" s="144">
        <f>Assumptions!AW58</f>
        <v>1</v>
      </c>
      <c r="AX86" s="144">
        <f>Assumptions!AX58</f>
        <v>1</v>
      </c>
      <c r="AY86" s="144">
        <f>Assumptions!AY58</f>
        <v>1</v>
      </c>
      <c r="AZ86" s="144">
        <f>Assumptions!AZ58</f>
        <v>1</v>
      </c>
      <c r="BA86" s="144">
        <f>Assumptions!BA58</f>
        <v>1</v>
      </c>
      <c r="BB86" s="144">
        <f>Assumptions!BB58</f>
        <v>1</v>
      </c>
      <c r="BC86" s="144">
        <f>Assumptions!BC58</f>
        <v>1</v>
      </c>
      <c r="BD86" s="144">
        <f>Assumptions!BD58</f>
        <v>1</v>
      </c>
      <c r="BE86" s="144">
        <f>Assumptions!BE58</f>
        <v>1</v>
      </c>
      <c r="BF86" s="144">
        <f>Assumptions!BF58</f>
        <v>1</v>
      </c>
      <c r="BG86" s="144">
        <f>Assumptions!BG58</f>
        <v>1</v>
      </c>
      <c r="BH86" s="144">
        <f>Assumptions!BH58</f>
        <v>1</v>
      </c>
      <c r="BI86" s="144">
        <f>Assumptions!BI58</f>
        <v>1</v>
      </c>
      <c r="BJ86" s="144">
        <f>Assumptions!BJ58</f>
        <v>1</v>
      </c>
      <c r="BK86" s="144">
        <f>Assumptions!BK58</f>
        <v>1</v>
      </c>
      <c r="BL86" s="144">
        <f>Assumptions!BL58</f>
        <v>1</v>
      </c>
      <c r="BM86" s="144">
        <f>Assumptions!BM58</f>
        <v>1</v>
      </c>
      <c r="BN86" s="144">
        <f>Assumptions!BN58</f>
        <v>1</v>
      </c>
      <c r="BO86" s="144">
        <f>Assumptions!BO58</f>
        <v>1</v>
      </c>
      <c r="BP86" s="144">
        <f>Assumptions!BP58</f>
        <v>1</v>
      </c>
      <c r="BQ86" s="144">
        <f>Assumptions!BQ58</f>
        <v>1</v>
      </c>
      <c r="BR86" s="144">
        <f>Assumptions!BR58</f>
        <v>1</v>
      </c>
      <c r="BS86" s="144">
        <f>Assumptions!BS58</f>
        <v>1</v>
      </c>
      <c r="BT86" s="144">
        <f>Assumptions!BT58</f>
        <v>1</v>
      </c>
      <c r="BU86" s="35"/>
    </row>
    <row r="87" spans="1:78">
      <c r="A87" s="144" t="str">
        <f>Assumptions!A59</f>
        <v xml:space="preserve">Management-Co-Found </v>
      </c>
      <c r="M87" s="144">
        <f>Assumptions!M59</f>
        <v>1</v>
      </c>
      <c r="N87" s="144">
        <f>Assumptions!N59</f>
        <v>1</v>
      </c>
      <c r="O87" s="144">
        <f>Assumptions!O59</f>
        <v>1</v>
      </c>
      <c r="P87" s="144">
        <f>Assumptions!P59</f>
        <v>1</v>
      </c>
      <c r="Q87" s="144">
        <f>Assumptions!Q59</f>
        <v>1</v>
      </c>
      <c r="R87" s="144">
        <f>Assumptions!R59</f>
        <v>1</v>
      </c>
      <c r="S87" s="144">
        <f>Assumptions!S59</f>
        <v>1</v>
      </c>
      <c r="T87" s="144">
        <f>Assumptions!T59</f>
        <v>1</v>
      </c>
      <c r="U87" s="144">
        <f>Assumptions!U59</f>
        <v>1</v>
      </c>
      <c r="V87" s="144">
        <f>Assumptions!V59</f>
        <v>1</v>
      </c>
      <c r="W87" s="144">
        <f>Assumptions!W59</f>
        <v>1</v>
      </c>
      <c r="X87" s="144">
        <f>Assumptions!X59</f>
        <v>1</v>
      </c>
      <c r="Y87" s="144">
        <f>Assumptions!Y59</f>
        <v>1</v>
      </c>
      <c r="Z87" s="144">
        <f>Assumptions!Z59</f>
        <v>1</v>
      </c>
      <c r="AA87" s="144">
        <f>Assumptions!AA59</f>
        <v>1</v>
      </c>
      <c r="AB87" s="144">
        <f>Assumptions!AB59</f>
        <v>1</v>
      </c>
      <c r="AC87" s="144">
        <f>Assumptions!AC59</f>
        <v>1</v>
      </c>
      <c r="AD87" s="144">
        <f>Assumptions!AD59</f>
        <v>1</v>
      </c>
      <c r="AE87" s="144">
        <f>Assumptions!AE59</f>
        <v>1</v>
      </c>
      <c r="AF87" s="144">
        <f>Assumptions!AF59</f>
        <v>1</v>
      </c>
      <c r="AG87" s="144">
        <f>Assumptions!AG59</f>
        <v>1</v>
      </c>
      <c r="AH87" s="144">
        <f>Assumptions!AH59</f>
        <v>1</v>
      </c>
      <c r="AI87" s="144">
        <f>Assumptions!AI59</f>
        <v>1</v>
      </c>
      <c r="AJ87" s="144">
        <f>Assumptions!AJ59</f>
        <v>1</v>
      </c>
      <c r="AK87" s="144">
        <f>Assumptions!AK59</f>
        <v>1</v>
      </c>
      <c r="AL87" s="144">
        <f>Assumptions!AL59</f>
        <v>1</v>
      </c>
      <c r="AM87" s="144">
        <f>Assumptions!AM59</f>
        <v>1</v>
      </c>
      <c r="AN87" s="144">
        <f>Assumptions!AN59</f>
        <v>1</v>
      </c>
      <c r="AO87" s="144">
        <f>Assumptions!AO59</f>
        <v>1</v>
      </c>
      <c r="AP87" s="144">
        <f>Assumptions!AP59</f>
        <v>1</v>
      </c>
      <c r="AQ87" s="144">
        <f>Assumptions!AQ59</f>
        <v>1</v>
      </c>
      <c r="AR87" s="144">
        <f>Assumptions!AR59</f>
        <v>1</v>
      </c>
      <c r="AS87" s="144">
        <f>Assumptions!AS59</f>
        <v>1</v>
      </c>
      <c r="AT87" s="144">
        <f>Assumptions!AT59</f>
        <v>1</v>
      </c>
      <c r="AU87" s="144">
        <f>Assumptions!AU59</f>
        <v>1</v>
      </c>
      <c r="AV87" s="144">
        <f>Assumptions!AV59</f>
        <v>1</v>
      </c>
      <c r="AW87" s="144">
        <f>Assumptions!AW59</f>
        <v>1</v>
      </c>
      <c r="AX87" s="144">
        <f>Assumptions!AX59</f>
        <v>1</v>
      </c>
      <c r="AY87" s="144">
        <f>Assumptions!AY59</f>
        <v>1</v>
      </c>
      <c r="AZ87" s="144">
        <f>Assumptions!AZ59</f>
        <v>1</v>
      </c>
      <c r="BA87" s="144">
        <f>Assumptions!BA59</f>
        <v>1</v>
      </c>
      <c r="BB87" s="144">
        <f>Assumptions!BB59</f>
        <v>1</v>
      </c>
      <c r="BC87" s="144">
        <f>Assumptions!BC59</f>
        <v>1</v>
      </c>
      <c r="BD87" s="144">
        <f>Assumptions!BD59</f>
        <v>1</v>
      </c>
      <c r="BE87" s="144">
        <f>Assumptions!BE59</f>
        <v>1</v>
      </c>
      <c r="BF87" s="144">
        <f>Assumptions!BF59</f>
        <v>1</v>
      </c>
      <c r="BG87" s="144">
        <f>Assumptions!BG59</f>
        <v>1</v>
      </c>
      <c r="BH87" s="144">
        <f>Assumptions!BH59</f>
        <v>1</v>
      </c>
      <c r="BI87" s="144">
        <f>Assumptions!BI59</f>
        <v>1</v>
      </c>
      <c r="BJ87" s="144">
        <f>Assumptions!BJ59</f>
        <v>1</v>
      </c>
      <c r="BK87" s="144">
        <f>Assumptions!BK59</f>
        <v>1</v>
      </c>
      <c r="BL87" s="144">
        <f>Assumptions!BL59</f>
        <v>1</v>
      </c>
      <c r="BM87" s="144">
        <f>Assumptions!BM59</f>
        <v>1</v>
      </c>
      <c r="BN87" s="144">
        <f>Assumptions!BN59</f>
        <v>1</v>
      </c>
      <c r="BO87" s="144">
        <f>Assumptions!BO59</f>
        <v>1</v>
      </c>
      <c r="BP87" s="144">
        <f>Assumptions!BP59</f>
        <v>1</v>
      </c>
      <c r="BQ87" s="144">
        <f>Assumptions!BQ59</f>
        <v>1</v>
      </c>
      <c r="BR87" s="144">
        <f>Assumptions!BR59</f>
        <v>1</v>
      </c>
      <c r="BS87" s="144">
        <f>Assumptions!BS59</f>
        <v>1</v>
      </c>
      <c r="BT87" s="144">
        <f>Assumptions!BT59</f>
        <v>1</v>
      </c>
      <c r="BU87" s="35"/>
    </row>
    <row r="88" spans="1:78" ht="15.6">
      <c r="A88" s="78" t="s">
        <v>130</v>
      </c>
      <c r="M88" s="184">
        <f t="shared" ref="M88:AR88" si="50">SUM(M89:M96)</f>
        <v>8</v>
      </c>
      <c r="N88" s="184">
        <f t="shared" si="50"/>
        <v>8</v>
      </c>
      <c r="O88" s="184">
        <f t="shared" si="50"/>
        <v>8</v>
      </c>
      <c r="P88" s="184">
        <f t="shared" si="50"/>
        <v>8</v>
      </c>
      <c r="Q88" s="184">
        <f t="shared" si="50"/>
        <v>8</v>
      </c>
      <c r="R88" s="184">
        <f t="shared" si="50"/>
        <v>8</v>
      </c>
      <c r="S88" s="184">
        <f t="shared" si="50"/>
        <v>8</v>
      </c>
      <c r="T88" s="184">
        <f t="shared" si="50"/>
        <v>8</v>
      </c>
      <c r="U88" s="184">
        <f t="shared" si="50"/>
        <v>8</v>
      </c>
      <c r="V88" s="184">
        <f t="shared" si="50"/>
        <v>8</v>
      </c>
      <c r="W88" s="184">
        <f t="shared" si="50"/>
        <v>8</v>
      </c>
      <c r="X88" s="184">
        <f t="shared" si="50"/>
        <v>8</v>
      </c>
      <c r="Y88" s="184">
        <f t="shared" si="50"/>
        <v>8</v>
      </c>
      <c r="Z88" s="184">
        <f t="shared" si="50"/>
        <v>8</v>
      </c>
      <c r="AA88" s="184">
        <f t="shared" si="50"/>
        <v>8</v>
      </c>
      <c r="AB88" s="184">
        <f t="shared" si="50"/>
        <v>8</v>
      </c>
      <c r="AC88" s="184">
        <f t="shared" si="50"/>
        <v>8</v>
      </c>
      <c r="AD88" s="184">
        <f t="shared" si="50"/>
        <v>8</v>
      </c>
      <c r="AE88" s="184">
        <f t="shared" si="50"/>
        <v>8</v>
      </c>
      <c r="AF88" s="184">
        <f t="shared" si="50"/>
        <v>8</v>
      </c>
      <c r="AG88" s="184">
        <f t="shared" si="50"/>
        <v>8</v>
      </c>
      <c r="AH88" s="184">
        <f t="shared" si="50"/>
        <v>8</v>
      </c>
      <c r="AI88" s="184">
        <f t="shared" si="50"/>
        <v>8</v>
      </c>
      <c r="AJ88" s="184">
        <f t="shared" si="50"/>
        <v>8</v>
      </c>
      <c r="AK88" s="184">
        <f t="shared" si="50"/>
        <v>8</v>
      </c>
      <c r="AL88" s="184">
        <f t="shared" si="50"/>
        <v>8</v>
      </c>
      <c r="AM88" s="184">
        <f t="shared" si="50"/>
        <v>8</v>
      </c>
      <c r="AN88" s="184">
        <f t="shared" si="50"/>
        <v>8</v>
      </c>
      <c r="AO88" s="184">
        <f t="shared" si="50"/>
        <v>8</v>
      </c>
      <c r="AP88" s="184">
        <f t="shared" si="50"/>
        <v>8</v>
      </c>
      <c r="AQ88" s="184">
        <f t="shared" si="50"/>
        <v>8</v>
      </c>
      <c r="AR88" s="184">
        <f t="shared" si="50"/>
        <v>8</v>
      </c>
      <c r="AS88" s="184">
        <f t="shared" ref="AS88:BX88" si="51">SUM(AS89:AS96)</f>
        <v>8</v>
      </c>
      <c r="AT88" s="184">
        <f t="shared" si="51"/>
        <v>8</v>
      </c>
      <c r="AU88" s="184">
        <f t="shared" si="51"/>
        <v>8</v>
      </c>
      <c r="AV88" s="184">
        <f t="shared" si="51"/>
        <v>9</v>
      </c>
      <c r="AW88" s="184">
        <f t="shared" si="51"/>
        <v>9</v>
      </c>
      <c r="AX88" s="184">
        <f t="shared" si="51"/>
        <v>9</v>
      </c>
      <c r="AY88" s="184">
        <f t="shared" si="51"/>
        <v>9</v>
      </c>
      <c r="AZ88" s="184">
        <f t="shared" si="51"/>
        <v>9</v>
      </c>
      <c r="BA88" s="184">
        <f t="shared" si="51"/>
        <v>9</v>
      </c>
      <c r="BB88" s="184">
        <f t="shared" si="51"/>
        <v>9</v>
      </c>
      <c r="BC88" s="184">
        <f t="shared" si="51"/>
        <v>9</v>
      </c>
      <c r="BD88" s="184">
        <f t="shared" si="51"/>
        <v>9</v>
      </c>
      <c r="BE88" s="184">
        <f t="shared" si="51"/>
        <v>9</v>
      </c>
      <c r="BF88" s="184">
        <f t="shared" si="51"/>
        <v>9</v>
      </c>
      <c r="BG88" s="184">
        <f t="shared" si="51"/>
        <v>9</v>
      </c>
      <c r="BH88" s="184">
        <f t="shared" si="51"/>
        <v>9</v>
      </c>
      <c r="BI88" s="184">
        <f t="shared" si="51"/>
        <v>9</v>
      </c>
      <c r="BJ88" s="184">
        <f t="shared" si="51"/>
        <v>9</v>
      </c>
      <c r="BK88" s="184">
        <f t="shared" si="51"/>
        <v>9</v>
      </c>
      <c r="BL88" s="184">
        <f t="shared" si="51"/>
        <v>9</v>
      </c>
      <c r="BM88" s="184">
        <f t="shared" si="51"/>
        <v>9</v>
      </c>
      <c r="BN88" s="184">
        <f t="shared" si="51"/>
        <v>9</v>
      </c>
      <c r="BO88" s="184">
        <f t="shared" si="51"/>
        <v>9</v>
      </c>
      <c r="BP88" s="184">
        <f t="shared" si="51"/>
        <v>9</v>
      </c>
      <c r="BQ88" s="184">
        <f t="shared" si="51"/>
        <v>9</v>
      </c>
      <c r="BR88" s="184">
        <f t="shared" si="51"/>
        <v>16</v>
      </c>
      <c r="BS88" s="184">
        <f t="shared" si="51"/>
        <v>16</v>
      </c>
      <c r="BT88" s="184">
        <f t="shared" si="51"/>
        <v>16</v>
      </c>
      <c r="BU88" s="35"/>
      <c r="BV88" s="145">
        <f>INDEX($M88:$BT88,MATCH(BV$4,$M$4:$BT$4,0))</f>
        <v>8</v>
      </c>
      <c r="BW88" s="145">
        <f>INDEX($M88:$BT88,MATCH(BW$4,$M$4:$BT$4,0))</f>
        <v>8</v>
      </c>
      <c r="BX88" s="145">
        <f>INDEX($M88:$BT88,MATCH(BX$4,$M$4:$BT$4,0))</f>
        <v>9</v>
      </c>
      <c r="BY88" s="145">
        <f>INDEX($M88:$BT88,MATCH(BY$4,$M$4:$BT$4,0))</f>
        <v>9</v>
      </c>
      <c r="BZ88" s="145">
        <f>INDEX($M88:$BT88,MATCH(BZ$4,$M$4:$BT$4,0))</f>
        <v>16</v>
      </c>
    </row>
    <row r="89" spans="1:78">
      <c r="A89" s="144" t="str">
        <f>Assumptions!A63</f>
        <v>Project Manager</v>
      </c>
      <c r="M89" s="144">
        <f>Assumptions!M63</f>
        <v>1</v>
      </c>
      <c r="N89" s="144">
        <f>Assumptions!N63</f>
        <v>1</v>
      </c>
      <c r="O89" s="144">
        <f>Assumptions!O63</f>
        <v>1</v>
      </c>
      <c r="P89" s="144">
        <f>Assumptions!P63</f>
        <v>1</v>
      </c>
      <c r="Q89" s="144">
        <f>Assumptions!Q63</f>
        <v>1</v>
      </c>
      <c r="R89" s="144">
        <f>Assumptions!R63</f>
        <v>1</v>
      </c>
      <c r="S89" s="144">
        <f>Assumptions!S63</f>
        <v>1</v>
      </c>
      <c r="T89" s="144">
        <f>Assumptions!T63</f>
        <v>1</v>
      </c>
      <c r="U89" s="144">
        <f>Assumptions!U63</f>
        <v>1</v>
      </c>
      <c r="V89" s="144">
        <f>Assumptions!V63</f>
        <v>1</v>
      </c>
      <c r="W89" s="144">
        <f>Assumptions!W63</f>
        <v>1</v>
      </c>
      <c r="X89" s="144">
        <f>Assumptions!X63</f>
        <v>1</v>
      </c>
      <c r="Y89" s="144">
        <f>Assumptions!Y63</f>
        <v>1</v>
      </c>
      <c r="Z89" s="144">
        <f>Assumptions!Z63</f>
        <v>1</v>
      </c>
      <c r="AA89" s="144">
        <f>Assumptions!AA63</f>
        <v>1</v>
      </c>
      <c r="AB89" s="144">
        <f>Assumptions!AB63</f>
        <v>1</v>
      </c>
      <c r="AC89" s="144">
        <f>Assumptions!AC63</f>
        <v>1</v>
      </c>
      <c r="AD89" s="144">
        <f>Assumptions!AD63</f>
        <v>1</v>
      </c>
      <c r="AE89" s="144">
        <f>Assumptions!AE63</f>
        <v>1</v>
      </c>
      <c r="AF89" s="144">
        <f>Assumptions!AF63</f>
        <v>1</v>
      </c>
      <c r="AG89" s="144">
        <f>Assumptions!AG63</f>
        <v>1</v>
      </c>
      <c r="AH89" s="144">
        <f>Assumptions!AH63</f>
        <v>1</v>
      </c>
      <c r="AI89" s="144">
        <f>Assumptions!AI63</f>
        <v>1</v>
      </c>
      <c r="AJ89" s="144">
        <f>Assumptions!AJ63</f>
        <v>1</v>
      </c>
      <c r="AK89" s="144">
        <f>Assumptions!AK63</f>
        <v>1</v>
      </c>
      <c r="AL89" s="144">
        <f>Assumptions!AL63</f>
        <v>1</v>
      </c>
      <c r="AM89" s="144">
        <f>Assumptions!AM63</f>
        <v>1</v>
      </c>
      <c r="AN89" s="144">
        <f>Assumptions!AN63</f>
        <v>1</v>
      </c>
      <c r="AO89" s="144">
        <f>Assumptions!AO63</f>
        <v>1</v>
      </c>
      <c r="AP89" s="144">
        <f>Assumptions!AP63</f>
        <v>1</v>
      </c>
      <c r="AQ89" s="144">
        <f>Assumptions!AQ63</f>
        <v>1</v>
      </c>
      <c r="AR89" s="144">
        <f>Assumptions!AR63</f>
        <v>1</v>
      </c>
      <c r="AS89" s="144">
        <f>Assumptions!AS63</f>
        <v>1</v>
      </c>
      <c r="AT89" s="144">
        <f>Assumptions!AT63</f>
        <v>1</v>
      </c>
      <c r="AU89" s="144">
        <f>Assumptions!AU63</f>
        <v>1</v>
      </c>
      <c r="AV89" s="144">
        <f>Assumptions!AV63</f>
        <v>2</v>
      </c>
      <c r="AW89" s="144">
        <f>Assumptions!AW63</f>
        <v>2</v>
      </c>
      <c r="AX89" s="144">
        <f>Assumptions!AX63</f>
        <v>2</v>
      </c>
      <c r="AY89" s="144">
        <f>Assumptions!AY63</f>
        <v>2</v>
      </c>
      <c r="AZ89" s="144">
        <f>Assumptions!AZ63</f>
        <v>2</v>
      </c>
      <c r="BA89" s="144">
        <f>Assumptions!BA63</f>
        <v>2</v>
      </c>
      <c r="BB89" s="144">
        <f>Assumptions!BB63</f>
        <v>2</v>
      </c>
      <c r="BC89" s="144">
        <f>Assumptions!BC63</f>
        <v>2</v>
      </c>
      <c r="BD89" s="144">
        <f>Assumptions!BD63</f>
        <v>2</v>
      </c>
      <c r="BE89" s="144">
        <f>Assumptions!BE63</f>
        <v>2</v>
      </c>
      <c r="BF89" s="144">
        <f>Assumptions!BF63</f>
        <v>2</v>
      </c>
      <c r="BG89" s="144">
        <f>Assumptions!BG63</f>
        <v>2</v>
      </c>
      <c r="BH89" s="144">
        <f>Assumptions!BH63</f>
        <v>2</v>
      </c>
      <c r="BI89" s="144">
        <f>Assumptions!BI63</f>
        <v>2</v>
      </c>
      <c r="BJ89" s="144">
        <f>Assumptions!BJ63</f>
        <v>2</v>
      </c>
      <c r="BK89" s="144">
        <f>Assumptions!BK63</f>
        <v>2</v>
      </c>
      <c r="BL89" s="144">
        <f>Assumptions!BL63</f>
        <v>2</v>
      </c>
      <c r="BM89" s="144">
        <f>Assumptions!BM63</f>
        <v>2</v>
      </c>
      <c r="BN89" s="144">
        <f>Assumptions!BN63</f>
        <v>2</v>
      </c>
      <c r="BO89" s="144">
        <f>Assumptions!BO63</f>
        <v>2</v>
      </c>
      <c r="BP89" s="144">
        <f>Assumptions!BP63</f>
        <v>2</v>
      </c>
      <c r="BQ89" s="144">
        <f>Assumptions!BQ63</f>
        <v>2</v>
      </c>
      <c r="BR89" s="144">
        <f>Assumptions!BR63</f>
        <v>2</v>
      </c>
      <c r="BS89" s="144">
        <f>Assumptions!BS63</f>
        <v>2</v>
      </c>
      <c r="BT89" s="144">
        <f>Assumptions!BT63</f>
        <v>2</v>
      </c>
      <c r="BU89" s="35"/>
    </row>
    <row r="90" spans="1:78">
      <c r="A90" s="144" t="str">
        <f>Assumptions!A64</f>
        <v>UI,UX Designer</v>
      </c>
      <c r="M90" s="144">
        <f>Assumptions!M64</f>
        <v>1</v>
      </c>
      <c r="N90" s="144">
        <f>Assumptions!N64</f>
        <v>1</v>
      </c>
      <c r="O90" s="144">
        <f>Assumptions!O64</f>
        <v>1</v>
      </c>
      <c r="P90" s="144">
        <f>Assumptions!P64</f>
        <v>1</v>
      </c>
      <c r="Q90" s="144">
        <f>Assumptions!Q64</f>
        <v>1</v>
      </c>
      <c r="R90" s="144">
        <f>Assumptions!R64</f>
        <v>1</v>
      </c>
      <c r="S90" s="144">
        <f>Assumptions!S64</f>
        <v>1</v>
      </c>
      <c r="T90" s="144">
        <f>Assumptions!T64</f>
        <v>1</v>
      </c>
      <c r="U90" s="144">
        <f>Assumptions!U64</f>
        <v>1</v>
      </c>
      <c r="V90" s="144">
        <f>Assumptions!V64</f>
        <v>1</v>
      </c>
      <c r="W90" s="144">
        <f>Assumptions!W64</f>
        <v>1</v>
      </c>
      <c r="X90" s="144">
        <f>Assumptions!X64</f>
        <v>1</v>
      </c>
      <c r="Y90" s="144">
        <f>Assumptions!Y64</f>
        <v>1</v>
      </c>
      <c r="Z90" s="144">
        <f>Assumptions!Z64</f>
        <v>1</v>
      </c>
      <c r="AA90" s="144">
        <f>Assumptions!AA64</f>
        <v>1</v>
      </c>
      <c r="AB90" s="144">
        <f>Assumptions!AB64</f>
        <v>1</v>
      </c>
      <c r="AC90" s="144">
        <f>Assumptions!AC64</f>
        <v>1</v>
      </c>
      <c r="AD90" s="144">
        <f>Assumptions!AD64</f>
        <v>1</v>
      </c>
      <c r="AE90" s="144">
        <f>Assumptions!AE64</f>
        <v>1</v>
      </c>
      <c r="AF90" s="144">
        <f>Assumptions!AF64</f>
        <v>1</v>
      </c>
      <c r="AG90" s="144">
        <f>Assumptions!AG64</f>
        <v>1</v>
      </c>
      <c r="AH90" s="144">
        <f>Assumptions!AH64</f>
        <v>1</v>
      </c>
      <c r="AI90" s="144">
        <f>Assumptions!AI64</f>
        <v>1</v>
      </c>
      <c r="AJ90" s="144">
        <f>Assumptions!AJ64</f>
        <v>1</v>
      </c>
      <c r="AK90" s="144">
        <f>Assumptions!AK64</f>
        <v>1</v>
      </c>
      <c r="AL90" s="144">
        <f>Assumptions!AL64</f>
        <v>1</v>
      </c>
      <c r="AM90" s="144">
        <f>Assumptions!AM64</f>
        <v>1</v>
      </c>
      <c r="AN90" s="144">
        <f>Assumptions!AN64</f>
        <v>1</v>
      </c>
      <c r="AO90" s="144">
        <f>Assumptions!AO64</f>
        <v>1</v>
      </c>
      <c r="AP90" s="144">
        <f>Assumptions!AP64</f>
        <v>1</v>
      </c>
      <c r="AQ90" s="144">
        <f>Assumptions!AQ64</f>
        <v>1</v>
      </c>
      <c r="AR90" s="144">
        <f>Assumptions!AR64</f>
        <v>1</v>
      </c>
      <c r="AS90" s="144">
        <f>Assumptions!AS64</f>
        <v>1</v>
      </c>
      <c r="AT90" s="144">
        <f>Assumptions!AT64</f>
        <v>1</v>
      </c>
      <c r="AU90" s="144">
        <f>Assumptions!AU64</f>
        <v>1</v>
      </c>
      <c r="AV90" s="144">
        <f>Assumptions!AV64</f>
        <v>1</v>
      </c>
      <c r="AW90" s="144">
        <f>Assumptions!AW64</f>
        <v>1</v>
      </c>
      <c r="AX90" s="144">
        <f>Assumptions!AX64</f>
        <v>1</v>
      </c>
      <c r="AY90" s="144">
        <f>Assumptions!AY64</f>
        <v>1</v>
      </c>
      <c r="AZ90" s="144">
        <f>Assumptions!AZ64</f>
        <v>1</v>
      </c>
      <c r="BA90" s="144">
        <f>Assumptions!BA64</f>
        <v>1</v>
      </c>
      <c r="BB90" s="144">
        <f>Assumptions!BB64</f>
        <v>1</v>
      </c>
      <c r="BC90" s="144">
        <f>Assumptions!BC64</f>
        <v>1</v>
      </c>
      <c r="BD90" s="144">
        <f>Assumptions!BD64</f>
        <v>1</v>
      </c>
      <c r="BE90" s="144">
        <f>Assumptions!BE64</f>
        <v>1</v>
      </c>
      <c r="BF90" s="144">
        <f>Assumptions!BF64</f>
        <v>1</v>
      </c>
      <c r="BG90" s="144">
        <f>Assumptions!BG64</f>
        <v>1</v>
      </c>
      <c r="BH90" s="144">
        <f>Assumptions!BH64</f>
        <v>1</v>
      </c>
      <c r="BI90" s="144">
        <f>Assumptions!BI64</f>
        <v>1</v>
      </c>
      <c r="BJ90" s="144">
        <f>Assumptions!BJ64</f>
        <v>1</v>
      </c>
      <c r="BK90" s="144">
        <f>Assumptions!BK64</f>
        <v>1</v>
      </c>
      <c r="BL90" s="144">
        <f>Assumptions!BL64</f>
        <v>1</v>
      </c>
      <c r="BM90" s="144">
        <f>Assumptions!BM64</f>
        <v>1</v>
      </c>
      <c r="BN90" s="144">
        <f>Assumptions!BN64</f>
        <v>1</v>
      </c>
      <c r="BO90" s="144">
        <f>Assumptions!BO64</f>
        <v>1</v>
      </c>
      <c r="BP90" s="144">
        <f>Assumptions!BP64</f>
        <v>1</v>
      </c>
      <c r="BQ90" s="144">
        <f>Assumptions!BQ64</f>
        <v>1</v>
      </c>
      <c r="BR90" s="144">
        <f>Assumptions!BR64</f>
        <v>2</v>
      </c>
      <c r="BS90" s="144">
        <f>Assumptions!BS64</f>
        <v>2</v>
      </c>
      <c r="BT90" s="144">
        <f>Assumptions!BT64</f>
        <v>2</v>
      </c>
      <c r="BU90" s="35"/>
    </row>
    <row r="91" spans="1:78">
      <c r="A91" s="144" t="str">
        <f>Assumptions!A65</f>
        <v xml:space="preserve">Sr. Software </v>
      </c>
      <c r="M91" s="144">
        <f>Assumptions!M65</f>
        <v>1</v>
      </c>
      <c r="N91" s="144">
        <f>Assumptions!N65</f>
        <v>1</v>
      </c>
      <c r="O91" s="144">
        <f>Assumptions!O65</f>
        <v>1</v>
      </c>
      <c r="P91" s="144">
        <f>Assumptions!P65</f>
        <v>1</v>
      </c>
      <c r="Q91" s="144">
        <f>Assumptions!Q65</f>
        <v>1</v>
      </c>
      <c r="R91" s="144">
        <f>Assumptions!R65</f>
        <v>1</v>
      </c>
      <c r="S91" s="144">
        <f>Assumptions!S65</f>
        <v>1</v>
      </c>
      <c r="T91" s="144">
        <f>Assumptions!T65</f>
        <v>1</v>
      </c>
      <c r="U91" s="144">
        <f>Assumptions!U65</f>
        <v>1</v>
      </c>
      <c r="V91" s="144">
        <f>Assumptions!V65</f>
        <v>1</v>
      </c>
      <c r="W91" s="144">
        <f>Assumptions!W65</f>
        <v>1</v>
      </c>
      <c r="X91" s="144">
        <f>Assumptions!X65</f>
        <v>1</v>
      </c>
      <c r="Y91" s="144">
        <f>Assumptions!Y65</f>
        <v>1</v>
      </c>
      <c r="Z91" s="144">
        <f>Assumptions!Z65</f>
        <v>1</v>
      </c>
      <c r="AA91" s="144">
        <f>Assumptions!AA65</f>
        <v>1</v>
      </c>
      <c r="AB91" s="144">
        <f>Assumptions!AB65</f>
        <v>1</v>
      </c>
      <c r="AC91" s="144">
        <f>Assumptions!AC65</f>
        <v>1</v>
      </c>
      <c r="AD91" s="144">
        <f>Assumptions!AD65</f>
        <v>1</v>
      </c>
      <c r="AE91" s="144">
        <f>Assumptions!AE65</f>
        <v>1</v>
      </c>
      <c r="AF91" s="144">
        <f>Assumptions!AF65</f>
        <v>1</v>
      </c>
      <c r="AG91" s="144">
        <f>Assumptions!AG65</f>
        <v>1</v>
      </c>
      <c r="AH91" s="144">
        <f>Assumptions!AH65</f>
        <v>1</v>
      </c>
      <c r="AI91" s="144">
        <f>Assumptions!AI65</f>
        <v>1</v>
      </c>
      <c r="AJ91" s="144">
        <f>Assumptions!AJ65</f>
        <v>1</v>
      </c>
      <c r="AK91" s="144">
        <f>Assumptions!AK65</f>
        <v>1</v>
      </c>
      <c r="AL91" s="144">
        <f>Assumptions!AL65</f>
        <v>1</v>
      </c>
      <c r="AM91" s="144">
        <f>Assumptions!AM65</f>
        <v>1</v>
      </c>
      <c r="AN91" s="144">
        <f>Assumptions!AN65</f>
        <v>1</v>
      </c>
      <c r="AO91" s="144">
        <f>Assumptions!AO65</f>
        <v>1</v>
      </c>
      <c r="AP91" s="144">
        <f>Assumptions!AP65</f>
        <v>1</v>
      </c>
      <c r="AQ91" s="144">
        <f>Assumptions!AQ65</f>
        <v>1</v>
      </c>
      <c r="AR91" s="144">
        <f>Assumptions!AR65</f>
        <v>1</v>
      </c>
      <c r="AS91" s="144">
        <f>Assumptions!AS65</f>
        <v>1</v>
      </c>
      <c r="AT91" s="144">
        <f>Assumptions!AT65</f>
        <v>1</v>
      </c>
      <c r="AU91" s="144">
        <f>Assumptions!AU65</f>
        <v>1</v>
      </c>
      <c r="AV91" s="144">
        <f>Assumptions!AV65</f>
        <v>1</v>
      </c>
      <c r="AW91" s="144">
        <f>Assumptions!AW65</f>
        <v>1</v>
      </c>
      <c r="AX91" s="144">
        <f>Assumptions!AX65</f>
        <v>1</v>
      </c>
      <c r="AY91" s="144">
        <f>Assumptions!AY65</f>
        <v>1</v>
      </c>
      <c r="AZ91" s="144">
        <f>Assumptions!AZ65</f>
        <v>1</v>
      </c>
      <c r="BA91" s="144">
        <f>Assumptions!BA65</f>
        <v>1</v>
      </c>
      <c r="BB91" s="144">
        <f>Assumptions!BB65</f>
        <v>1</v>
      </c>
      <c r="BC91" s="144">
        <f>Assumptions!BC65</f>
        <v>1</v>
      </c>
      <c r="BD91" s="144">
        <f>Assumptions!BD65</f>
        <v>1</v>
      </c>
      <c r="BE91" s="144">
        <f>Assumptions!BE65</f>
        <v>1</v>
      </c>
      <c r="BF91" s="144">
        <f>Assumptions!BF65</f>
        <v>1</v>
      </c>
      <c r="BG91" s="144">
        <f>Assumptions!BG65</f>
        <v>1</v>
      </c>
      <c r="BH91" s="144">
        <f>Assumptions!BH65</f>
        <v>1</v>
      </c>
      <c r="BI91" s="144">
        <f>Assumptions!BI65</f>
        <v>1</v>
      </c>
      <c r="BJ91" s="144">
        <f>Assumptions!BJ65</f>
        <v>1</v>
      </c>
      <c r="BK91" s="144">
        <f>Assumptions!BK65</f>
        <v>1</v>
      </c>
      <c r="BL91" s="144">
        <f>Assumptions!BL65</f>
        <v>1</v>
      </c>
      <c r="BM91" s="144">
        <f>Assumptions!BM65</f>
        <v>1</v>
      </c>
      <c r="BN91" s="144">
        <f>Assumptions!BN65</f>
        <v>1</v>
      </c>
      <c r="BO91" s="144">
        <f>Assumptions!BO65</f>
        <v>1</v>
      </c>
      <c r="BP91" s="144">
        <f>Assumptions!BP65</f>
        <v>1</v>
      </c>
      <c r="BQ91" s="144">
        <f>Assumptions!BQ65</f>
        <v>1</v>
      </c>
      <c r="BR91" s="144">
        <f>Assumptions!BR65</f>
        <v>2</v>
      </c>
      <c r="BS91" s="144">
        <f>Assumptions!BS65</f>
        <v>2</v>
      </c>
      <c r="BT91" s="144">
        <f>Assumptions!BT65</f>
        <v>2</v>
      </c>
      <c r="BU91" s="35"/>
    </row>
    <row r="92" spans="1:78">
      <c r="A92" s="144" t="str">
        <f>Assumptions!A66</f>
        <v>Solution Architect</v>
      </c>
      <c r="M92" s="144">
        <f>Assumptions!M66</f>
        <v>1</v>
      </c>
      <c r="N92" s="144">
        <f>Assumptions!N66</f>
        <v>1</v>
      </c>
      <c r="O92" s="144">
        <f>Assumptions!O66</f>
        <v>1</v>
      </c>
      <c r="P92" s="144">
        <f>Assumptions!P66</f>
        <v>1</v>
      </c>
      <c r="Q92" s="144">
        <f>Assumptions!Q66</f>
        <v>1</v>
      </c>
      <c r="R92" s="144">
        <f>Assumptions!R66</f>
        <v>1</v>
      </c>
      <c r="S92" s="144">
        <f>Assumptions!S66</f>
        <v>1</v>
      </c>
      <c r="T92" s="144">
        <f>Assumptions!T66</f>
        <v>1</v>
      </c>
      <c r="U92" s="144">
        <f>Assumptions!U66</f>
        <v>1</v>
      </c>
      <c r="V92" s="144">
        <f>Assumptions!V66</f>
        <v>1</v>
      </c>
      <c r="W92" s="144">
        <f>Assumptions!W66</f>
        <v>1</v>
      </c>
      <c r="X92" s="144">
        <f>Assumptions!X66</f>
        <v>1</v>
      </c>
      <c r="Y92" s="144">
        <f>Assumptions!Y66</f>
        <v>1</v>
      </c>
      <c r="Z92" s="144">
        <f>Assumptions!Z66</f>
        <v>1</v>
      </c>
      <c r="AA92" s="144">
        <f>Assumptions!AA66</f>
        <v>1</v>
      </c>
      <c r="AB92" s="144">
        <f>Assumptions!AB66</f>
        <v>1</v>
      </c>
      <c r="AC92" s="144">
        <f>Assumptions!AC66</f>
        <v>1</v>
      </c>
      <c r="AD92" s="144">
        <f>Assumptions!AD66</f>
        <v>1</v>
      </c>
      <c r="AE92" s="144">
        <f>Assumptions!AE66</f>
        <v>1</v>
      </c>
      <c r="AF92" s="144">
        <f>Assumptions!AF66</f>
        <v>1</v>
      </c>
      <c r="AG92" s="144">
        <f>Assumptions!AG66</f>
        <v>1</v>
      </c>
      <c r="AH92" s="144">
        <f>Assumptions!AH66</f>
        <v>1</v>
      </c>
      <c r="AI92" s="144">
        <f>Assumptions!AI66</f>
        <v>1</v>
      </c>
      <c r="AJ92" s="144">
        <f>Assumptions!AJ66</f>
        <v>1</v>
      </c>
      <c r="AK92" s="144">
        <f>Assumptions!AK66</f>
        <v>1</v>
      </c>
      <c r="AL92" s="144">
        <f>Assumptions!AL66</f>
        <v>1</v>
      </c>
      <c r="AM92" s="144">
        <f>Assumptions!AM66</f>
        <v>1</v>
      </c>
      <c r="AN92" s="144">
        <f>Assumptions!AN66</f>
        <v>1</v>
      </c>
      <c r="AO92" s="144">
        <f>Assumptions!AO66</f>
        <v>1</v>
      </c>
      <c r="AP92" s="144">
        <f>Assumptions!AP66</f>
        <v>1</v>
      </c>
      <c r="AQ92" s="144">
        <f>Assumptions!AQ66</f>
        <v>1</v>
      </c>
      <c r="AR92" s="144">
        <f>Assumptions!AR66</f>
        <v>1</v>
      </c>
      <c r="AS92" s="144">
        <f>Assumptions!AS66</f>
        <v>1</v>
      </c>
      <c r="AT92" s="144">
        <f>Assumptions!AT66</f>
        <v>1</v>
      </c>
      <c r="AU92" s="144">
        <f>Assumptions!AU66</f>
        <v>1</v>
      </c>
      <c r="AV92" s="144">
        <f>Assumptions!AV66</f>
        <v>1</v>
      </c>
      <c r="AW92" s="144">
        <f>Assumptions!AW66</f>
        <v>1</v>
      </c>
      <c r="AX92" s="144">
        <f>Assumptions!AX66</f>
        <v>1</v>
      </c>
      <c r="AY92" s="144">
        <f>Assumptions!AY66</f>
        <v>1</v>
      </c>
      <c r="AZ92" s="144">
        <f>Assumptions!AZ66</f>
        <v>1</v>
      </c>
      <c r="BA92" s="144">
        <f>Assumptions!BA66</f>
        <v>1</v>
      </c>
      <c r="BB92" s="144">
        <f>Assumptions!BB66</f>
        <v>1</v>
      </c>
      <c r="BC92" s="144">
        <f>Assumptions!BC66</f>
        <v>1</v>
      </c>
      <c r="BD92" s="144">
        <f>Assumptions!BD66</f>
        <v>1</v>
      </c>
      <c r="BE92" s="144">
        <f>Assumptions!BE66</f>
        <v>1</v>
      </c>
      <c r="BF92" s="144">
        <f>Assumptions!BF66</f>
        <v>1</v>
      </c>
      <c r="BG92" s="144">
        <f>Assumptions!BG66</f>
        <v>1</v>
      </c>
      <c r="BH92" s="144">
        <f>Assumptions!BH66</f>
        <v>1</v>
      </c>
      <c r="BI92" s="144">
        <f>Assumptions!BI66</f>
        <v>1</v>
      </c>
      <c r="BJ92" s="144">
        <f>Assumptions!BJ66</f>
        <v>1</v>
      </c>
      <c r="BK92" s="144">
        <f>Assumptions!BK66</f>
        <v>1</v>
      </c>
      <c r="BL92" s="144">
        <f>Assumptions!BL66</f>
        <v>1</v>
      </c>
      <c r="BM92" s="144">
        <f>Assumptions!BM66</f>
        <v>1</v>
      </c>
      <c r="BN92" s="144">
        <f>Assumptions!BN66</f>
        <v>1</v>
      </c>
      <c r="BO92" s="144">
        <f>Assumptions!BO66</f>
        <v>1</v>
      </c>
      <c r="BP92" s="144">
        <f>Assumptions!BP66</f>
        <v>1</v>
      </c>
      <c r="BQ92" s="144">
        <f>Assumptions!BQ66</f>
        <v>1</v>
      </c>
      <c r="BR92" s="144">
        <f>Assumptions!BR66</f>
        <v>2</v>
      </c>
      <c r="BS92" s="144">
        <f>Assumptions!BS66</f>
        <v>2</v>
      </c>
      <c r="BT92" s="144">
        <f>Assumptions!BT66</f>
        <v>2</v>
      </c>
      <c r="BU92" s="35"/>
    </row>
    <row r="93" spans="1:78">
      <c r="A93" s="144" t="str">
        <f>Assumptions!A67</f>
        <v>Test Er</v>
      </c>
      <c r="M93" s="144">
        <f>Assumptions!M67</f>
        <v>1</v>
      </c>
      <c r="N93" s="144">
        <f>Assumptions!N67</f>
        <v>1</v>
      </c>
      <c r="O93" s="144">
        <f>Assumptions!O67</f>
        <v>1</v>
      </c>
      <c r="P93" s="144">
        <f>Assumptions!P67</f>
        <v>1</v>
      </c>
      <c r="Q93" s="144">
        <f>Assumptions!Q67</f>
        <v>1</v>
      </c>
      <c r="R93" s="144">
        <f>Assumptions!R67</f>
        <v>1</v>
      </c>
      <c r="S93" s="144">
        <f>Assumptions!S67</f>
        <v>1</v>
      </c>
      <c r="T93" s="144">
        <f>Assumptions!T67</f>
        <v>1</v>
      </c>
      <c r="U93" s="144">
        <f>Assumptions!U67</f>
        <v>1</v>
      </c>
      <c r="V93" s="144">
        <f>Assumptions!V67</f>
        <v>1</v>
      </c>
      <c r="W93" s="144">
        <f>Assumptions!W67</f>
        <v>1</v>
      </c>
      <c r="X93" s="144">
        <f>Assumptions!X67</f>
        <v>1</v>
      </c>
      <c r="Y93" s="144">
        <f>Assumptions!Y67</f>
        <v>1</v>
      </c>
      <c r="Z93" s="144">
        <f>Assumptions!Z67</f>
        <v>1</v>
      </c>
      <c r="AA93" s="144">
        <f>Assumptions!AA67</f>
        <v>1</v>
      </c>
      <c r="AB93" s="144">
        <f>Assumptions!AB67</f>
        <v>1</v>
      </c>
      <c r="AC93" s="144">
        <f>Assumptions!AC67</f>
        <v>1</v>
      </c>
      <c r="AD93" s="144">
        <f>Assumptions!AD67</f>
        <v>1</v>
      </c>
      <c r="AE93" s="144">
        <f>Assumptions!AE67</f>
        <v>1</v>
      </c>
      <c r="AF93" s="144">
        <f>Assumptions!AF67</f>
        <v>1</v>
      </c>
      <c r="AG93" s="144">
        <f>Assumptions!AG67</f>
        <v>1</v>
      </c>
      <c r="AH93" s="144">
        <f>Assumptions!AH67</f>
        <v>1</v>
      </c>
      <c r="AI93" s="144">
        <f>Assumptions!AI67</f>
        <v>1</v>
      </c>
      <c r="AJ93" s="144">
        <f>Assumptions!AJ67</f>
        <v>1</v>
      </c>
      <c r="AK93" s="144">
        <f>Assumptions!AK67</f>
        <v>1</v>
      </c>
      <c r="AL93" s="144">
        <f>Assumptions!AL67</f>
        <v>1</v>
      </c>
      <c r="AM93" s="144">
        <f>Assumptions!AM67</f>
        <v>1</v>
      </c>
      <c r="AN93" s="144">
        <f>Assumptions!AN67</f>
        <v>1</v>
      </c>
      <c r="AO93" s="144">
        <f>Assumptions!AO67</f>
        <v>1</v>
      </c>
      <c r="AP93" s="144">
        <f>Assumptions!AP67</f>
        <v>1</v>
      </c>
      <c r="AQ93" s="144">
        <f>Assumptions!AQ67</f>
        <v>1</v>
      </c>
      <c r="AR93" s="144">
        <f>Assumptions!AR67</f>
        <v>1</v>
      </c>
      <c r="AS93" s="144">
        <f>Assumptions!AS67</f>
        <v>1</v>
      </c>
      <c r="AT93" s="144">
        <f>Assumptions!AT67</f>
        <v>1</v>
      </c>
      <c r="AU93" s="144">
        <f>Assumptions!AU67</f>
        <v>1</v>
      </c>
      <c r="AV93" s="144">
        <f>Assumptions!AV67</f>
        <v>1</v>
      </c>
      <c r="AW93" s="144">
        <f>Assumptions!AW67</f>
        <v>1</v>
      </c>
      <c r="AX93" s="144">
        <f>Assumptions!AX67</f>
        <v>1</v>
      </c>
      <c r="AY93" s="144">
        <f>Assumptions!AY67</f>
        <v>1</v>
      </c>
      <c r="AZ93" s="144">
        <f>Assumptions!AZ67</f>
        <v>1</v>
      </c>
      <c r="BA93" s="144">
        <f>Assumptions!BA67</f>
        <v>1</v>
      </c>
      <c r="BB93" s="144">
        <f>Assumptions!BB67</f>
        <v>1</v>
      </c>
      <c r="BC93" s="144">
        <f>Assumptions!BC67</f>
        <v>1</v>
      </c>
      <c r="BD93" s="144">
        <f>Assumptions!BD67</f>
        <v>1</v>
      </c>
      <c r="BE93" s="144">
        <f>Assumptions!BE67</f>
        <v>1</v>
      </c>
      <c r="BF93" s="144">
        <f>Assumptions!BF67</f>
        <v>1</v>
      </c>
      <c r="BG93" s="144">
        <f>Assumptions!BG67</f>
        <v>1</v>
      </c>
      <c r="BH93" s="144">
        <f>Assumptions!BH67</f>
        <v>1</v>
      </c>
      <c r="BI93" s="144">
        <f>Assumptions!BI67</f>
        <v>1</v>
      </c>
      <c r="BJ93" s="144">
        <f>Assumptions!BJ67</f>
        <v>1</v>
      </c>
      <c r="BK93" s="144">
        <f>Assumptions!BK67</f>
        <v>1</v>
      </c>
      <c r="BL93" s="144">
        <f>Assumptions!BL67</f>
        <v>1</v>
      </c>
      <c r="BM93" s="144">
        <f>Assumptions!BM67</f>
        <v>1</v>
      </c>
      <c r="BN93" s="144">
        <f>Assumptions!BN67</f>
        <v>1</v>
      </c>
      <c r="BO93" s="144">
        <f>Assumptions!BO67</f>
        <v>1</v>
      </c>
      <c r="BP93" s="144">
        <f>Assumptions!BP67</f>
        <v>1</v>
      </c>
      <c r="BQ93" s="144">
        <f>Assumptions!BQ67</f>
        <v>1</v>
      </c>
      <c r="BR93" s="144">
        <f>Assumptions!BR67</f>
        <v>2</v>
      </c>
      <c r="BS93" s="144">
        <f>Assumptions!BS67</f>
        <v>2</v>
      </c>
      <c r="BT93" s="144">
        <f>Assumptions!BT67</f>
        <v>2</v>
      </c>
      <c r="BU93" s="35"/>
    </row>
    <row r="94" spans="1:78">
      <c r="A94" s="144" t="str">
        <f>Assumptions!A68</f>
        <v>Jr. Test Er</v>
      </c>
      <c r="M94" s="144">
        <f>Assumptions!M68</f>
        <v>1</v>
      </c>
      <c r="N94" s="144">
        <f>Assumptions!N68</f>
        <v>1</v>
      </c>
      <c r="O94" s="144">
        <f>Assumptions!O68</f>
        <v>1</v>
      </c>
      <c r="P94" s="144">
        <f>Assumptions!P68</f>
        <v>1</v>
      </c>
      <c r="Q94" s="144">
        <f>Assumptions!Q68</f>
        <v>1</v>
      </c>
      <c r="R94" s="144">
        <f>Assumptions!R68</f>
        <v>1</v>
      </c>
      <c r="S94" s="144">
        <f>Assumptions!S68</f>
        <v>1</v>
      </c>
      <c r="T94" s="144">
        <f>Assumptions!T68</f>
        <v>1</v>
      </c>
      <c r="U94" s="144">
        <f>Assumptions!U68</f>
        <v>1</v>
      </c>
      <c r="V94" s="144">
        <f>Assumptions!V68</f>
        <v>1</v>
      </c>
      <c r="W94" s="144">
        <f>Assumptions!W68</f>
        <v>1</v>
      </c>
      <c r="X94" s="144">
        <f>Assumptions!X68</f>
        <v>1</v>
      </c>
      <c r="Y94" s="144">
        <f>Assumptions!Y68</f>
        <v>1</v>
      </c>
      <c r="Z94" s="144">
        <f>Assumptions!Z68</f>
        <v>1</v>
      </c>
      <c r="AA94" s="144">
        <f>Assumptions!AA68</f>
        <v>1</v>
      </c>
      <c r="AB94" s="144">
        <f>Assumptions!AB68</f>
        <v>1</v>
      </c>
      <c r="AC94" s="144">
        <f>Assumptions!AC68</f>
        <v>1</v>
      </c>
      <c r="AD94" s="144">
        <f>Assumptions!AD68</f>
        <v>1</v>
      </c>
      <c r="AE94" s="144">
        <f>Assumptions!AE68</f>
        <v>1</v>
      </c>
      <c r="AF94" s="144">
        <f>Assumptions!AF68</f>
        <v>1</v>
      </c>
      <c r="AG94" s="144">
        <f>Assumptions!AG68</f>
        <v>1</v>
      </c>
      <c r="AH94" s="144">
        <f>Assumptions!AH68</f>
        <v>1</v>
      </c>
      <c r="AI94" s="144">
        <f>Assumptions!AI68</f>
        <v>1</v>
      </c>
      <c r="AJ94" s="144">
        <f>Assumptions!AJ68</f>
        <v>1</v>
      </c>
      <c r="AK94" s="144">
        <f>Assumptions!AK68</f>
        <v>1</v>
      </c>
      <c r="AL94" s="144">
        <f>Assumptions!AL68</f>
        <v>1</v>
      </c>
      <c r="AM94" s="144">
        <f>Assumptions!AM68</f>
        <v>1</v>
      </c>
      <c r="AN94" s="144">
        <f>Assumptions!AN68</f>
        <v>1</v>
      </c>
      <c r="AO94" s="144">
        <f>Assumptions!AO68</f>
        <v>1</v>
      </c>
      <c r="AP94" s="144">
        <f>Assumptions!AP68</f>
        <v>1</v>
      </c>
      <c r="AQ94" s="144">
        <f>Assumptions!AQ68</f>
        <v>1</v>
      </c>
      <c r="AR94" s="144">
        <f>Assumptions!AR68</f>
        <v>1</v>
      </c>
      <c r="AS94" s="144">
        <f>Assumptions!AS68</f>
        <v>1</v>
      </c>
      <c r="AT94" s="144">
        <f>Assumptions!AT68</f>
        <v>1</v>
      </c>
      <c r="AU94" s="144">
        <f>Assumptions!AU68</f>
        <v>1</v>
      </c>
      <c r="AV94" s="144">
        <f>Assumptions!AV68</f>
        <v>1</v>
      </c>
      <c r="AW94" s="144">
        <f>Assumptions!AW68</f>
        <v>1</v>
      </c>
      <c r="AX94" s="144">
        <f>Assumptions!AX68</f>
        <v>1</v>
      </c>
      <c r="AY94" s="144">
        <f>Assumptions!AY68</f>
        <v>1</v>
      </c>
      <c r="AZ94" s="144">
        <f>Assumptions!AZ68</f>
        <v>1</v>
      </c>
      <c r="BA94" s="144">
        <f>Assumptions!BA68</f>
        <v>1</v>
      </c>
      <c r="BB94" s="144">
        <f>Assumptions!BB68</f>
        <v>1</v>
      </c>
      <c r="BC94" s="144">
        <f>Assumptions!BC68</f>
        <v>1</v>
      </c>
      <c r="BD94" s="144">
        <f>Assumptions!BD68</f>
        <v>1</v>
      </c>
      <c r="BE94" s="144">
        <f>Assumptions!BE68</f>
        <v>1</v>
      </c>
      <c r="BF94" s="144">
        <f>Assumptions!BF68</f>
        <v>1</v>
      </c>
      <c r="BG94" s="144">
        <f>Assumptions!BG68</f>
        <v>1</v>
      </c>
      <c r="BH94" s="144">
        <f>Assumptions!BH68</f>
        <v>1</v>
      </c>
      <c r="BI94" s="144">
        <f>Assumptions!BI68</f>
        <v>1</v>
      </c>
      <c r="BJ94" s="144">
        <f>Assumptions!BJ68</f>
        <v>1</v>
      </c>
      <c r="BK94" s="144">
        <f>Assumptions!BK68</f>
        <v>1</v>
      </c>
      <c r="BL94" s="144">
        <f>Assumptions!BL68</f>
        <v>1</v>
      </c>
      <c r="BM94" s="144">
        <f>Assumptions!BM68</f>
        <v>1</v>
      </c>
      <c r="BN94" s="144">
        <f>Assumptions!BN68</f>
        <v>1</v>
      </c>
      <c r="BO94" s="144">
        <f>Assumptions!BO68</f>
        <v>1</v>
      </c>
      <c r="BP94" s="144">
        <f>Assumptions!BP68</f>
        <v>1</v>
      </c>
      <c r="BQ94" s="144">
        <f>Assumptions!BQ68</f>
        <v>1</v>
      </c>
      <c r="BR94" s="144">
        <f>Assumptions!BR68</f>
        <v>2</v>
      </c>
      <c r="BS94" s="144">
        <f>Assumptions!BS68</f>
        <v>2</v>
      </c>
      <c r="BT94" s="144">
        <f>Assumptions!BT68</f>
        <v>2</v>
      </c>
      <c r="BU94" s="35"/>
    </row>
    <row r="95" spans="1:78">
      <c r="A95" s="144" t="str">
        <f>Assumptions!A69</f>
        <v>Infra Er</v>
      </c>
      <c r="M95" s="144">
        <f>Assumptions!M69</f>
        <v>1</v>
      </c>
      <c r="N95" s="144">
        <f>Assumptions!N69</f>
        <v>1</v>
      </c>
      <c r="O95" s="144">
        <f>Assumptions!O69</f>
        <v>1</v>
      </c>
      <c r="P95" s="144">
        <f>Assumptions!P69</f>
        <v>1</v>
      </c>
      <c r="Q95" s="144">
        <f>Assumptions!Q69</f>
        <v>1</v>
      </c>
      <c r="R95" s="144">
        <f>Assumptions!R69</f>
        <v>1</v>
      </c>
      <c r="S95" s="144">
        <f>Assumptions!S69</f>
        <v>1</v>
      </c>
      <c r="T95" s="144">
        <f>Assumptions!T69</f>
        <v>1</v>
      </c>
      <c r="U95" s="144">
        <f>Assumptions!U69</f>
        <v>1</v>
      </c>
      <c r="V95" s="144">
        <f>Assumptions!V69</f>
        <v>1</v>
      </c>
      <c r="W95" s="144">
        <f>Assumptions!W69</f>
        <v>1</v>
      </c>
      <c r="X95" s="144">
        <f>Assumptions!X69</f>
        <v>1</v>
      </c>
      <c r="Y95" s="144">
        <f>Assumptions!Y69</f>
        <v>1</v>
      </c>
      <c r="Z95" s="144">
        <f>Assumptions!Z69</f>
        <v>1</v>
      </c>
      <c r="AA95" s="144">
        <f>Assumptions!AA69</f>
        <v>1</v>
      </c>
      <c r="AB95" s="144">
        <f>Assumptions!AB69</f>
        <v>1</v>
      </c>
      <c r="AC95" s="144">
        <f>Assumptions!AC69</f>
        <v>1</v>
      </c>
      <c r="AD95" s="144">
        <f>Assumptions!AD69</f>
        <v>1</v>
      </c>
      <c r="AE95" s="144">
        <f>Assumptions!AE69</f>
        <v>1</v>
      </c>
      <c r="AF95" s="144">
        <f>Assumptions!AF69</f>
        <v>1</v>
      </c>
      <c r="AG95" s="144">
        <f>Assumptions!AG69</f>
        <v>1</v>
      </c>
      <c r="AH95" s="144">
        <f>Assumptions!AH69</f>
        <v>1</v>
      </c>
      <c r="AI95" s="144">
        <f>Assumptions!AI69</f>
        <v>1</v>
      </c>
      <c r="AJ95" s="144">
        <f>Assumptions!AJ69</f>
        <v>1</v>
      </c>
      <c r="AK95" s="144">
        <f>Assumptions!AK69</f>
        <v>1</v>
      </c>
      <c r="AL95" s="144">
        <f>Assumptions!AL69</f>
        <v>1</v>
      </c>
      <c r="AM95" s="144">
        <f>Assumptions!AM69</f>
        <v>1</v>
      </c>
      <c r="AN95" s="144">
        <f>Assumptions!AN69</f>
        <v>1</v>
      </c>
      <c r="AO95" s="144">
        <f>Assumptions!AO69</f>
        <v>1</v>
      </c>
      <c r="AP95" s="144">
        <f>Assumptions!AP69</f>
        <v>1</v>
      </c>
      <c r="AQ95" s="144">
        <f>Assumptions!AQ69</f>
        <v>1</v>
      </c>
      <c r="AR95" s="144">
        <f>Assumptions!AR69</f>
        <v>1</v>
      </c>
      <c r="AS95" s="144">
        <f>Assumptions!AS69</f>
        <v>1</v>
      </c>
      <c r="AT95" s="144">
        <f>Assumptions!AT69</f>
        <v>1</v>
      </c>
      <c r="AU95" s="144">
        <f>Assumptions!AU69</f>
        <v>1</v>
      </c>
      <c r="AV95" s="144">
        <f>Assumptions!AV69</f>
        <v>1</v>
      </c>
      <c r="AW95" s="144">
        <f>Assumptions!AW69</f>
        <v>1</v>
      </c>
      <c r="AX95" s="144">
        <f>Assumptions!AX69</f>
        <v>1</v>
      </c>
      <c r="AY95" s="144">
        <f>Assumptions!AY69</f>
        <v>1</v>
      </c>
      <c r="AZ95" s="144">
        <f>Assumptions!AZ69</f>
        <v>1</v>
      </c>
      <c r="BA95" s="144">
        <f>Assumptions!BA69</f>
        <v>1</v>
      </c>
      <c r="BB95" s="144">
        <f>Assumptions!BB69</f>
        <v>1</v>
      </c>
      <c r="BC95" s="144">
        <f>Assumptions!BC69</f>
        <v>1</v>
      </c>
      <c r="BD95" s="144">
        <f>Assumptions!BD69</f>
        <v>1</v>
      </c>
      <c r="BE95" s="144">
        <f>Assumptions!BE69</f>
        <v>1</v>
      </c>
      <c r="BF95" s="144">
        <f>Assumptions!BF69</f>
        <v>1</v>
      </c>
      <c r="BG95" s="144">
        <f>Assumptions!BG69</f>
        <v>1</v>
      </c>
      <c r="BH95" s="144">
        <f>Assumptions!BH69</f>
        <v>1</v>
      </c>
      <c r="BI95" s="144">
        <f>Assumptions!BI69</f>
        <v>1</v>
      </c>
      <c r="BJ95" s="144">
        <f>Assumptions!BJ69</f>
        <v>1</v>
      </c>
      <c r="BK95" s="144">
        <f>Assumptions!BK69</f>
        <v>1</v>
      </c>
      <c r="BL95" s="144">
        <f>Assumptions!BL69</f>
        <v>1</v>
      </c>
      <c r="BM95" s="144">
        <f>Assumptions!BM69</f>
        <v>1</v>
      </c>
      <c r="BN95" s="144">
        <f>Assumptions!BN69</f>
        <v>1</v>
      </c>
      <c r="BO95" s="144">
        <f>Assumptions!BO69</f>
        <v>1</v>
      </c>
      <c r="BP95" s="144">
        <f>Assumptions!BP69</f>
        <v>1</v>
      </c>
      <c r="BQ95" s="144">
        <f>Assumptions!BQ69</f>
        <v>1</v>
      </c>
      <c r="BR95" s="144">
        <f>Assumptions!BR69</f>
        <v>2</v>
      </c>
      <c r="BS95" s="144">
        <f>Assumptions!BS69</f>
        <v>2</v>
      </c>
      <c r="BT95" s="144">
        <f>Assumptions!BT69</f>
        <v>2</v>
      </c>
      <c r="BU95" s="35"/>
    </row>
    <row r="96" spans="1:78">
      <c r="A96" s="144" t="str">
        <f>Assumptions!A70</f>
        <v>Jr. Infra Er</v>
      </c>
      <c r="M96" s="144">
        <f>Assumptions!M70</f>
        <v>1</v>
      </c>
      <c r="N96" s="144">
        <f>Assumptions!N70</f>
        <v>1</v>
      </c>
      <c r="O96" s="144">
        <f>Assumptions!O70</f>
        <v>1</v>
      </c>
      <c r="P96" s="144">
        <f>Assumptions!P70</f>
        <v>1</v>
      </c>
      <c r="Q96" s="144">
        <f>Assumptions!Q70</f>
        <v>1</v>
      </c>
      <c r="R96" s="144">
        <f>Assumptions!R70</f>
        <v>1</v>
      </c>
      <c r="S96" s="144">
        <f>Assumptions!S70</f>
        <v>1</v>
      </c>
      <c r="T96" s="144">
        <f>Assumptions!T70</f>
        <v>1</v>
      </c>
      <c r="U96" s="144">
        <f>Assumptions!U70</f>
        <v>1</v>
      </c>
      <c r="V96" s="144">
        <f>Assumptions!V70</f>
        <v>1</v>
      </c>
      <c r="W96" s="144">
        <f>Assumptions!W70</f>
        <v>1</v>
      </c>
      <c r="X96" s="144">
        <f>Assumptions!X70</f>
        <v>1</v>
      </c>
      <c r="Y96" s="144">
        <f>Assumptions!Y70</f>
        <v>1</v>
      </c>
      <c r="Z96" s="144">
        <f>Assumptions!Z70</f>
        <v>1</v>
      </c>
      <c r="AA96" s="144">
        <f>Assumptions!AA70</f>
        <v>1</v>
      </c>
      <c r="AB96" s="144">
        <f>Assumptions!AB70</f>
        <v>1</v>
      </c>
      <c r="AC96" s="144">
        <f>Assumptions!AC70</f>
        <v>1</v>
      </c>
      <c r="AD96" s="144">
        <f>Assumptions!AD70</f>
        <v>1</v>
      </c>
      <c r="AE96" s="144">
        <f>Assumptions!AE70</f>
        <v>1</v>
      </c>
      <c r="AF96" s="144">
        <f>Assumptions!AF70</f>
        <v>1</v>
      </c>
      <c r="AG96" s="144">
        <f>Assumptions!AG70</f>
        <v>1</v>
      </c>
      <c r="AH96" s="144">
        <f>Assumptions!AH70</f>
        <v>1</v>
      </c>
      <c r="AI96" s="144">
        <f>Assumptions!AI70</f>
        <v>1</v>
      </c>
      <c r="AJ96" s="144">
        <f>Assumptions!AJ70</f>
        <v>1</v>
      </c>
      <c r="AK96" s="144">
        <f>Assumptions!AK70</f>
        <v>1</v>
      </c>
      <c r="AL96" s="144">
        <f>Assumptions!AL70</f>
        <v>1</v>
      </c>
      <c r="AM96" s="144">
        <f>Assumptions!AM70</f>
        <v>1</v>
      </c>
      <c r="AN96" s="144">
        <f>Assumptions!AN70</f>
        <v>1</v>
      </c>
      <c r="AO96" s="144">
        <f>Assumptions!AO70</f>
        <v>1</v>
      </c>
      <c r="AP96" s="144">
        <f>Assumptions!AP70</f>
        <v>1</v>
      </c>
      <c r="AQ96" s="144">
        <f>Assumptions!AQ70</f>
        <v>1</v>
      </c>
      <c r="AR96" s="144">
        <f>Assumptions!AR70</f>
        <v>1</v>
      </c>
      <c r="AS96" s="144">
        <f>Assumptions!AS70</f>
        <v>1</v>
      </c>
      <c r="AT96" s="144">
        <f>Assumptions!AT70</f>
        <v>1</v>
      </c>
      <c r="AU96" s="144">
        <f>Assumptions!AU70</f>
        <v>1</v>
      </c>
      <c r="AV96" s="144">
        <f>Assumptions!AV70</f>
        <v>1</v>
      </c>
      <c r="AW96" s="144">
        <f>Assumptions!AW70</f>
        <v>1</v>
      </c>
      <c r="AX96" s="144">
        <f>Assumptions!AX70</f>
        <v>1</v>
      </c>
      <c r="AY96" s="144">
        <f>Assumptions!AY70</f>
        <v>1</v>
      </c>
      <c r="AZ96" s="144">
        <f>Assumptions!AZ70</f>
        <v>1</v>
      </c>
      <c r="BA96" s="144">
        <f>Assumptions!BA70</f>
        <v>1</v>
      </c>
      <c r="BB96" s="144">
        <f>Assumptions!BB70</f>
        <v>1</v>
      </c>
      <c r="BC96" s="144">
        <f>Assumptions!BC70</f>
        <v>1</v>
      </c>
      <c r="BD96" s="144">
        <f>Assumptions!BD70</f>
        <v>1</v>
      </c>
      <c r="BE96" s="144">
        <f>Assumptions!BE70</f>
        <v>1</v>
      </c>
      <c r="BF96" s="144">
        <f>Assumptions!BF70</f>
        <v>1</v>
      </c>
      <c r="BG96" s="144">
        <f>Assumptions!BG70</f>
        <v>1</v>
      </c>
      <c r="BH96" s="144">
        <f>Assumptions!BH70</f>
        <v>1</v>
      </c>
      <c r="BI96" s="144">
        <f>Assumptions!BI70</f>
        <v>1</v>
      </c>
      <c r="BJ96" s="144">
        <f>Assumptions!BJ70</f>
        <v>1</v>
      </c>
      <c r="BK96" s="144">
        <f>Assumptions!BK70</f>
        <v>1</v>
      </c>
      <c r="BL96" s="144">
        <f>Assumptions!BL70</f>
        <v>1</v>
      </c>
      <c r="BM96" s="144">
        <f>Assumptions!BM70</f>
        <v>1</v>
      </c>
      <c r="BN96" s="144">
        <f>Assumptions!BN70</f>
        <v>1</v>
      </c>
      <c r="BO96" s="144">
        <f>Assumptions!BO70</f>
        <v>1</v>
      </c>
      <c r="BP96" s="144">
        <f>Assumptions!BP70</f>
        <v>1</v>
      </c>
      <c r="BQ96" s="144">
        <f>Assumptions!BQ70</f>
        <v>1</v>
      </c>
      <c r="BR96" s="144">
        <f>Assumptions!BR70</f>
        <v>2</v>
      </c>
      <c r="BS96" s="144">
        <f>Assumptions!BS70</f>
        <v>2</v>
      </c>
      <c r="BT96" s="144">
        <f>Assumptions!BT70</f>
        <v>2</v>
      </c>
      <c r="BU96" s="35"/>
    </row>
    <row r="97" spans="1:78" ht="15.75" customHeight="1">
      <c r="A97" s="67" t="s">
        <v>131</v>
      </c>
      <c r="M97" s="185">
        <f t="shared" ref="M97:AR97" si="52">M88+M82+M75+M72+M71</f>
        <v>13</v>
      </c>
      <c r="N97" s="185">
        <f t="shared" si="52"/>
        <v>13</v>
      </c>
      <c r="O97" s="185">
        <f t="shared" si="52"/>
        <v>13</v>
      </c>
      <c r="P97" s="185">
        <f t="shared" si="52"/>
        <v>13</v>
      </c>
      <c r="Q97" s="185">
        <f t="shared" si="52"/>
        <v>13</v>
      </c>
      <c r="R97" s="185">
        <f t="shared" si="52"/>
        <v>14</v>
      </c>
      <c r="S97" s="185">
        <f t="shared" si="52"/>
        <v>15</v>
      </c>
      <c r="T97" s="185">
        <f t="shared" si="52"/>
        <v>15</v>
      </c>
      <c r="U97" s="185">
        <f t="shared" si="52"/>
        <v>15</v>
      </c>
      <c r="V97" s="185">
        <f t="shared" si="52"/>
        <v>15</v>
      </c>
      <c r="W97" s="185">
        <f t="shared" si="52"/>
        <v>15</v>
      </c>
      <c r="X97" s="185">
        <f t="shared" si="52"/>
        <v>15</v>
      </c>
      <c r="Y97" s="185">
        <f t="shared" si="52"/>
        <v>17</v>
      </c>
      <c r="Z97" s="185">
        <f t="shared" si="52"/>
        <v>17</v>
      </c>
      <c r="AA97" s="185">
        <f t="shared" si="52"/>
        <v>17</v>
      </c>
      <c r="AB97" s="185">
        <f t="shared" si="52"/>
        <v>17</v>
      </c>
      <c r="AC97" s="185">
        <f t="shared" si="52"/>
        <v>17</v>
      </c>
      <c r="AD97" s="185">
        <f t="shared" si="52"/>
        <v>17</v>
      </c>
      <c r="AE97" s="185">
        <f t="shared" si="52"/>
        <v>17</v>
      </c>
      <c r="AF97" s="185">
        <f t="shared" si="52"/>
        <v>17</v>
      </c>
      <c r="AG97" s="185">
        <f t="shared" si="52"/>
        <v>18</v>
      </c>
      <c r="AH97" s="185">
        <f t="shared" si="52"/>
        <v>18</v>
      </c>
      <c r="AI97" s="185">
        <f t="shared" si="52"/>
        <v>18</v>
      </c>
      <c r="AJ97" s="185">
        <f t="shared" si="52"/>
        <v>18</v>
      </c>
      <c r="AK97" s="185">
        <f t="shared" si="52"/>
        <v>18</v>
      </c>
      <c r="AL97" s="185">
        <f t="shared" si="52"/>
        <v>18</v>
      </c>
      <c r="AM97" s="185">
        <f t="shared" si="52"/>
        <v>18</v>
      </c>
      <c r="AN97" s="185">
        <f t="shared" si="52"/>
        <v>18</v>
      </c>
      <c r="AO97" s="185">
        <f t="shared" si="52"/>
        <v>18</v>
      </c>
      <c r="AP97" s="185">
        <f t="shared" si="52"/>
        <v>18</v>
      </c>
      <c r="AQ97" s="185">
        <f t="shared" si="52"/>
        <v>18</v>
      </c>
      <c r="AR97" s="185">
        <f t="shared" si="52"/>
        <v>18</v>
      </c>
      <c r="AS97" s="185">
        <f t="shared" ref="AS97:BT97" si="53">AS88+AS82+AS75+AS72+AS71</f>
        <v>18</v>
      </c>
      <c r="AT97" s="185">
        <f t="shared" si="53"/>
        <v>18</v>
      </c>
      <c r="AU97" s="185">
        <f t="shared" si="53"/>
        <v>18</v>
      </c>
      <c r="AV97" s="185">
        <f t="shared" si="53"/>
        <v>19</v>
      </c>
      <c r="AW97" s="185">
        <f t="shared" si="53"/>
        <v>19</v>
      </c>
      <c r="AX97" s="185">
        <f t="shared" si="53"/>
        <v>19</v>
      </c>
      <c r="AY97" s="185">
        <f t="shared" si="53"/>
        <v>19</v>
      </c>
      <c r="AZ97" s="185">
        <f t="shared" si="53"/>
        <v>19</v>
      </c>
      <c r="BA97" s="185">
        <f t="shared" si="53"/>
        <v>19</v>
      </c>
      <c r="BB97" s="185">
        <f t="shared" si="53"/>
        <v>19</v>
      </c>
      <c r="BC97" s="185">
        <f t="shared" si="53"/>
        <v>19</v>
      </c>
      <c r="BD97" s="185">
        <f t="shared" si="53"/>
        <v>20</v>
      </c>
      <c r="BE97" s="185">
        <f t="shared" si="53"/>
        <v>20</v>
      </c>
      <c r="BF97" s="185">
        <f t="shared" si="53"/>
        <v>20</v>
      </c>
      <c r="BG97" s="185">
        <f t="shared" si="53"/>
        <v>20</v>
      </c>
      <c r="BH97" s="185">
        <f t="shared" si="53"/>
        <v>20</v>
      </c>
      <c r="BI97" s="185">
        <f t="shared" si="53"/>
        <v>20</v>
      </c>
      <c r="BJ97" s="185">
        <f t="shared" si="53"/>
        <v>20</v>
      </c>
      <c r="BK97" s="185">
        <f t="shared" si="53"/>
        <v>20</v>
      </c>
      <c r="BL97" s="185">
        <f t="shared" si="53"/>
        <v>20</v>
      </c>
      <c r="BM97" s="185">
        <f t="shared" si="53"/>
        <v>20</v>
      </c>
      <c r="BN97" s="185">
        <f t="shared" si="53"/>
        <v>20</v>
      </c>
      <c r="BO97" s="185">
        <f t="shared" si="53"/>
        <v>20</v>
      </c>
      <c r="BP97" s="185">
        <f t="shared" si="53"/>
        <v>21</v>
      </c>
      <c r="BQ97" s="185">
        <f t="shared" si="53"/>
        <v>21</v>
      </c>
      <c r="BR97" s="185">
        <f t="shared" si="53"/>
        <v>28</v>
      </c>
      <c r="BS97" s="185">
        <f t="shared" si="53"/>
        <v>28</v>
      </c>
      <c r="BT97" s="185">
        <f t="shared" si="53"/>
        <v>28</v>
      </c>
      <c r="BU97" s="35"/>
      <c r="BV97" s="186">
        <f>INDEX($M97:$BT97,MATCH(BV$4,$M$4:$BT$4,0))</f>
        <v>15</v>
      </c>
      <c r="BW97" s="186">
        <f>INDEX($M97:$BT97,MATCH(BW$4,$M$4:$BT$4,0))</f>
        <v>18</v>
      </c>
      <c r="BX97" s="186">
        <f>INDEX($M97:$BT97,MATCH(BX$4,$M$4:$BT$4,0))</f>
        <v>19</v>
      </c>
      <c r="BY97" s="186">
        <f>INDEX($M97:$BT97,MATCH(BY$4,$M$4:$BT$4,0))</f>
        <v>20</v>
      </c>
      <c r="BZ97" s="186">
        <f>INDEX($M97:$BT97,MATCH(BZ$4,$M$4:$BT$4,0))</f>
        <v>28</v>
      </c>
    </row>
    <row r="98" spans="1:78" ht="15.75" customHeight="1"/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"/>
  <sheetViews>
    <sheetView showGridLines="0" zoomScaleNormal="100" workbookViewId="0">
      <pane xSplit="12" ySplit="4" topLeftCell="M5" activePane="bottomRight" state="frozen"/>
      <selection pane="topRight" activeCell="M1" sqref="M1"/>
      <selection pane="bottomLeft" activeCell="A5" sqref="A5"/>
      <selection pane="bottomRight"/>
    </sheetView>
  </sheetViews>
  <sheetFormatPr defaultColWidth="11" defaultRowHeight="15"/>
  <cols>
    <col min="2" max="12" width="2" customWidth="1"/>
  </cols>
  <sheetData>
    <row r="1" spans="1:78" ht="21" customHeight="1">
      <c r="A1" s="24" t="s">
        <v>132</v>
      </c>
      <c r="B1" s="24"/>
      <c r="C1" s="25"/>
      <c r="D1" s="26"/>
      <c r="E1" s="26"/>
      <c r="F1" s="26"/>
      <c r="G1" s="26"/>
      <c r="H1" s="26"/>
      <c r="I1" s="26"/>
      <c r="J1" s="27"/>
      <c r="K1" s="26"/>
      <c r="L1" s="26"/>
      <c r="M1" s="28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1:78" ht="15.75" customHeight="1">
      <c r="A2" s="30" t="s">
        <v>19</v>
      </c>
      <c r="B2" s="30"/>
      <c r="C2" s="25"/>
      <c r="D2" s="26"/>
      <c r="E2" s="26"/>
      <c r="F2" s="26"/>
      <c r="G2" s="26"/>
      <c r="H2" s="26"/>
      <c r="I2" s="26"/>
      <c r="J2" s="27"/>
      <c r="K2" s="26"/>
      <c r="L2" s="26"/>
      <c r="M2" s="3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26"/>
      <c r="BV2" s="3" t="s">
        <v>21</v>
      </c>
      <c r="BW2" s="3"/>
      <c r="BX2" s="3"/>
      <c r="BY2" s="3"/>
      <c r="BZ2" s="3"/>
    </row>
    <row r="3" spans="1:78" ht="15.6">
      <c r="A3" s="31" t="s">
        <v>22</v>
      </c>
      <c r="B3" s="32"/>
      <c r="C3" s="32"/>
      <c r="D3" s="33"/>
      <c r="E3" s="33"/>
      <c r="F3" s="33"/>
      <c r="G3" s="33"/>
      <c r="H3" s="33"/>
      <c r="I3" s="33"/>
      <c r="J3" s="26"/>
      <c r="K3" s="26"/>
      <c r="L3" s="26"/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f>X3+1</f>
        <v>2</v>
      </c>
      <c r="Z3" s="34">
        <f t="shared" ref="Z3:AJ3" si="0">Y3</f>
        <v>2</v>
      </c>
      <c r="AA3" s="34">
        <f t="shared" si="0"/>
        <v>2</v>
      </c>
      <c r="AB3" s="34">
        <f t="shared" si="0"/>
        <v>2</v>
      </c>
      <c r="AC3" s="34">
        <f t="shared" si="0"/>
        <v>2</v>
      </c>
      <c r="AD3" s="34">
        <f t="shared" si="0"/>
        <v>2</v>
      </c>
      <c r="AE3" s="34">
        <f t="shared" si="0"/>
        <v>2</v>
      </c>
      <c r="AF3" s="34">
        <f t="shared" si="0"/>
        <v>2</v>
      </c>
      <c r="AG3" s="34">
        <f t="shared" si="0"/>
        <v>2</v>
      </c>
      <c r="AH3" s="34">
        <f t="shared" si="0"/>
        <v>2</v>
      </c>
      <c r="AI3" s="34">
        <f t="shared" si="0"/>
        <v>2</v>
      </c>
      <c r="AJ3" s="34">
        <f t="shared" si="0"/>
        <v>2</v>
      </c>
      <c r="AK3" s="34">
        <v>3</v>
      </c>
      <c r="AL3" s="34">
        <v>3</v>
      </c>
      <c r="AM3" s="34">
        <v>3</v>
      </c>
      <c r="AN3" s="34">
        <v>3</v>
      </c>
      <c r="AO3" s="34">
        <v>3</v>
      </c>
      <c r="AP3" s="34">
        <v>3</v>
      </c>
      <c r="AQ3" s="34">
        <v>3</v>
      </c>
      <c r="AR3" s="34">
        <v>3</v>
      </c>
      <c r="AS3" s="34">
        <v>3</v>
      </c>
      <c r="AT3" s="34">
        <v>3</v>
      </c>
      <c r="AU3" s="34">
        <v>3</v>
      </c>
      <c r="AV3" s="34">
        <v>3</v>
      </c>
      <c r="AW3" s="34">
        <v>4</v>
      </c>
      <c r="AX3" s="34">
        <v>4</v>
      </c>
      <c r="AY3" s="34">
        <v>4</v>
      </c>
      <c r="AZ3" s="34">
        <v>4</v>
      </c>
      <c r="BA3" s="34">
        <v>4</v>
      </c>
      <c r="BB3" s="34">
        <v>4</v>
      </c>
      <c r="BC3" s="34">
        <v>4</v>
      </c>
      <c r="BD3" s="34">
        <v>4</v>
      </c>
      <c r="BE3" s="34">
        <v>4</v>
      </c>
      <c r="BF3" s="34">
        <v>4</v>
      </c>
      <c r="BG3" s="34">
        <v>4</v>
      </c>
      <c r="BH3" s="34">
        <v>4</v>
      </c>
      <c r="BI3" s="34">
        <v>5</v>
      </c>
      <c r="BJ3" s="34">
        <v>5</v>
      </c>
      <c r="BK3" s="34">
        <v>5</v>
      </c>
      <c r="BL3" s="34">
        <v>5</v>
      </c>
      <c r="BM3" s="34">
        <v>5</v>
      </c>
      <c r="BN3" s="34">
        <v>5</v>
      </c>
      <c r="BO3" s="34">
        <v>5</v>
      </c>
      <c r="BP3" s="34">
        <v>5</v>
      </c>
      <c r="BQ3" s="34">
        <v>5</v>
      </c>
      <c r="BR3" s="34">
        <v>5</v>
      </c>
      <c r="BS3" s="34">
        <v>5</v>
      </c>
      <c r="BT3" s="34">
        <v>5</v>
      </c>
      <c r="BU3" s="35"/>
      <c r="BV3" s="36">
        <v>1</v>
      </c>
      <c r="BW3" s="36">
        <v>2</v>
      </c>
      <c r="BX3" s="36">
        <v>3</v>
      </c>
      <c r="BY3" s="36">
        <v>4</v>
      </c>
      <c r="BZ3" s="36">
        <v>5</v>
      </c>
    </row>
    <row r="4" spans="1:78" ht="15.6">
      <c r="A4" s="37" t="s">
        <v>23</v>
      </c>
      <c r="B4" s="113"/>
      <c r="C4" s="32"/>
      <c r="D4" s="33"/>
      <c r="E4" s="26"/>
      <c r="F4" s="26"/>
      <c r="G4" s="26"/>
      <c r="H4" s="26"/>
      <c r="I4" s="26"/>
      <c r="J4" s="26"/>
      <c r="K4" s="26"/>
      <c r="L4" s="26"/>
      <c r="M4" s="39">
        <v>1</v>
      </c>
      <c r="N4" s="39">
        <f t="shared" ref="N4:X4" si="1">M4+1</f>
        <v>2</v>
      </c>
      <c r="O4" s="39">
        <f t="shared" si="1"/>
        <v>3</v>
      </c>
      <c r="P4" s="39">
        <f t="shared" si="1"/>
        <v>4</v>
      </c>
      <c r="Q4" s="39">
        <f t="shared" si="1"/>
        <v>5</v>
      </c>
      <c r="R4" s="39">
        <f t="shared" si="1"/>
        <v>6</v>
      </c>
      <c r="S4" s="39">
        <f t="shared" si="1"/>
        <v>7</v>
      </c>
      <c r="T4" s="39">
        <f t="shared" si="1"/>
        <v>8</v>
      </c>
      <c r="U4" s="39">
        <f t="shared" si="1"/>
        <v>9</v>
      </c>
      <c r="V4" s="39">
        <f t="shared" si="1"/>
        <v>10</v>
      </c>
      <c r="W4" s="39">
        <f t="shared" si="1"/>
        <v>11</v>
      </c>
      <c r="X4" s="39">
        <f t="shared" si="1"/>
        <v>12</v>
      </c>
      <c r="Y4" s="39">
        <f>X4+1</f>
        <v>13</v>
      </c>
      <c r="Z4" s="39">
        <f t="shared" ref="Z4:BT4" si="2">Y4+1</f>
        <v>14</v>
      </c>
      <c r="AA4" s="39">
        <f t="shared" si="2"/>
        <v>15</v>
      </c>
      <c r="AB4" s="39">
        <f t="shared" si="2"/>
        <v>16</v>
      </c>
      <c r="AC4" s="39">
        <f t="shared" si="2"/>
        <v>17</v>
      </c>
      <c r="AD4" s="39">
        <f t="shared" si="2"/>
        <v>18</v>
      </c>
      <c r="AE4" s="39">
        <f t="shared" si="2"/>
        <v>19</v>
      </c>
      <c r="AF4" s="39">
        <f t="shared" si="2"/>
        <v>20</v>
      </c>
      <c r="AG4" s="39">
        <f t="shared" si="2"/>
        <v>21</v>
      </c>
      <c r="AH4" s="39">
        <f t="shared" si="2"/>
        <v>22</v>
      </c>
      <c r="AI4" s="39">
        <f t="shared" si="2"/>
        <v>23</v>
      </c>
      <c r="AJ4" s="39">
        <f t="shared" si="2"/>
        <v>24</v>
      </c>
      <c r="AK4" s="39">
        <f t="shared" si="2"/>
        <v>25</v>
      </c>
      <c r="AL4" s="39">
        <f t="shared" si="2"/>
        <v>26</v>
      </c>
      <c r="AM4" s="39">
        <f t="shared" si="2"/>
        <v>27</v>
      </c>
      <c r="AN4" s="39">
        <f t="shared" si="2"/>
        <v>28</v>
      </c>
      <c r="AO4" s="39">
        <f t="shared" si="2"/>
        <v>29</v>
      </c>
      <c r="AP4" s="39">
        <f t="shared" si="2"/>
        <v>30</v>
      </c>
      <c r="AQ4" s="39">
        <f t="shared" si="2"/>
        <v>31</v>
      </c>
      <c r="AR4" s="39">
        <f t="shared" si="2"/>
        <v>32</v>
      </c>
      <c r="AS4" s="39">
        <f t="shared" si="2"/>
        <v>33</v>
      </c>
      <c r="AT4" s="39">
        <f t="shared" si="2"/>
        <v>34</v>
      </c>
      <c r="AU4" s="39">
        <f t="shared" si="2"/>
        <v>35</v>
      </c>
      <c r="AV4" s="39">
        <f t="shared" si="2"/>
        <v>36</v>
      </c>
      <c r="AW4" s="39">
        <f t="shared" si="2"/>
        <v>37</v>
      </c>
      <c r="AX4" s="39">
        <f t="shared" si="2"/>
        <v>38</v>
      </c>
      <c r="AY4" s="39">
        <f t="shared" si="2"/>
        <v>39</v>
      </c>
      <c r="AZ4" s="39">
        <f t="shared" si="2"/>
        <v>40</v>
      </c>
      <c r="BA4" s="39">
        <f t="shared" si="2"/>
        <v>41</v>
      </c>
      <c r="BB4" s="39">
        <f t="shared" si="2"/>
        <v>42</v>
      </c>
      <c r="BC4" s="39">
        <f t="shared" si="2"/>
        <v>43</v>
      </c>
      <c r="BD4" s="39">
        <f t="shared" si="2"/>
        <v>44</v>
      </c>
      <c r="BE4" s="39">
        <f t="shared" si="2"/>
        <v>45</v>
      </c>
      <c r="BF4" s="39">
        <f t="shared" si="2"/>
        <v>46</v>
      </c>
      <c r="BG4" s="39">
        <f t="shared" si="2"/>
        <v>47</v>
      </c>
      <c r="BH4" s="39">
        <f t="shared" si="2"/>
        <v>48</v>
      </c>
      <c r="BI4" s="39">
        <f t="shared" si="2"/>
        <v>49</v>
      </c>
      <c r="BJ4" s="39">
        <f t="shared" si="2"/>
        <v>50</v>
      </c>
      <c r="BK4" s="39">
        <f t="shared" si="2"/>
        <v>51</v>
      </c>
      <c r="BL4" s="39">
        <f t="shared" si="2"/>
        <v>52</v>
      </c>
      <c r="BM4" s="39">
        <f t="shared" si="2"/>
        <v>53</v>
      </c>
      <c r="BN4" s="39">
        <f t="shared" si="2"/>
        <v>54</v>
      </c>
      <c r="BO4" s="39">
        <f t="shared" si="2"/>
        <v>55</v>
      </c>
      <c r="BP4" s="39">
        <f t="shared" si="2"/>
        <v>56</v>
      </c>
      <c r="BQ4" s="39">
        <f t="shared" si="2"/>
        <v>57</v>
      </c>
      <c r="BR4" s="39">
        <f t="shared" si="2"/>
        <v>58</v>
      </c>
      <c r="BS4" s="39">
        <f t="shared" si="2"/>
        <v>59</v>
      </c>
      <c r="BT4" s="39">
        <f t="shared" si="2"/>
        <v>60</v>
      </c>
      <c r="BU4" s="35"/>
      <c r="BV4" s="39">
        <v>12</v>
      </c>
      <c r="BW4" s="39">
        <v>24</v>
      </c>
      <c r="BX4" s="39">
        <v>36</v>
      </c>
      <c r="BY4" s="39">
        <v>48</v>
      </c>
      <c r="BZ4" s="39">
        <v>60</v>
      </c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1"/>
  <sheetViews>
    <sheetView showGridLines="0" zoomScale="110" zoomScaleNormal="110" workbookViewId="0">
      <pane xSplit="12" ySplit="4" topLeftCell="BQ5" activePane="bottomRight" state="frozen"/>
      <selection pane="topRight" activeCell="BS1" sqref="BS1"/>
      <selection pane="bottomLeft" activeCell="A5" sqref="A5"/>
      <selection pane="bottomRight" activeCell="BW8" sqref="BW8"/>
    </sheetView>
  </sheetViews>
  <sheetFormatPr defaultColWidth="11" defaultRowHeight="15"/>
  <cols>
    <col min="1" max="1" width="8.1796875" customWidth="1"/>
    <col min="2" max="2" width="7.7265625" customWidth="1"/>
    <col min="3" max="12" width="2" customWidth="1"/>
    <col min="13" max="14" width="12.1796875" customWidth="1"/>
    <col min="15" max="27" width="13" customWidth="1"/>
    <col min="28" max="29" width="13.26953125" customWidth="1"/>
    <col min="30" max="65" width="14" customWidth="1"/>
    <col min="66" max="66" width="14.81640625" customWidth="1"/>
    <col min="67" max="72" width="15.453125" customWidth="1"/>
    <col min="73" max="73" width="4.1796875" customWidth="1"/>
    <col min="74" max="77" width="15.1796875" customWidth="1"/>
    <col min="78" max="78" width="16.26953125" customWidth="1"/>
    <col min="79" max="79" width="3.81640625" customWidth="1"/>
  </cols>
  <sheetData>
    <row r="1" spans="1:84" ht="21" customHeight="1">
      <c r="A1" s="24" t="s">
        <v>133</v>
      </c>
      <c r="B1" s="24"/>
      <c r="C1" s="25"/>
      <c r="D1" s="26"/>
      <c r="E1" s="26"/>
      <c r="F1" s="26"/>
      <c r="G1" s="26"/>
      <c r="H1" s="26"/>
      <c r="I1" s="26"/>
      <c r="J1" s="27"/>
      <c r="K1" s="26"/>
      <c r="L1" s="26"/>
      <c r="M1" s="28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1:84" ht="15.75" customHeight="1">
      <c r="A2" s="30" t="s">
        <v>19</v>
      </c>
      <c r="B2" s="30"/>
      <c r="C2" s="25"/>
      <c r="D2" s="26"/>
      <c r="E2" s="26"/>
      <c r="F2" s="26"/>
      <c r="G2" s="26"/>
      <c r="H2" s="26"/>
      <c r="I2" s="26"/>
      <c r="J2" s="27"/>
      <c r="K2" s="26"/>
      <c r="L2" s="26"/>
      <c r="M2" s="3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26"/>
      <c r="BV2" s="3" t="s">
        <v>21</v>
      </c>
      <c r="BW2" s="3"/>
      <c r="BX2" s="3"/>
      <c r="BY2" s="3"/>
      <c r="BZ2" s="3"/>
      <c r="CB2" s="3" t="s">
        <v>134</v>
      </c>
      <c r="CC2" s="3"/>
      <c r="CD2" s="3"/>
      <c r="CE2" s="3"/>
      <c r="CF2" s="3"/>
    </row>
    <row r="3" spans="1:84" ht="15.6">
      <c r="A3" s="31" t="s">
        <v>22</v>
      </c>
      <c r="B3" s="32"/>
      <c r="C3" s="32"/>
      <c r="D3" s="33"/>
      <c r="E3" s="33"/>
      <c r="F3" s="33"/>
      <c r="G3" s="33"/>
      <c r="H3" s="33"/>
      <c r="I3" s="33"/>
      <c r="J3" s="26"/>
      <c r="K3" s="26"/>
      <c r="L3" s="26"/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f>X3+1</f>
        <v>2</v>
      </c>
      <c r="Z3" s="34">
        <f t="shared" ref="Z3:AJ3" si="0">Y3</f>
        <v>2</v>
      </c>
      <c r="AA3" s="34">
        <f t="shared" si="0"/>
        <v>2</v>
      </c>
      <c r="AB3" s="34">
        <f t="shared" si="0"/>
        <v>2</v>
      </c>
      <c r="AC3" s="34">
        <f t="shared" si="0"/>
        <v>2</v>
      </c>
      <c r="AD3" s="34">
        <f t="shared" si="0"/>
        <v>2</v>
      </c>
      <c r="AE3" s="34">
        <f t="shared" si="0"/>
        <v>2</v>
      </c>
      <c r="AF3" s="34">
        <f t="shared" si="0"/>
        <v>2</v>
      </c>
      <c r="AG3" s="34">
        <f t="shared" si="0"/>
        <v>2</v>
      </c>
      <c r="AH3" s="34">
        <f t="shared" si="0"/>
        <v>2</v>
      </c>
      <c r="AI3" s="34">
        <f t="shared" si="0"/>
        <v>2</v>
      </c>
      <c r="AJ3" s="34">
        <f t="shared" si="0"/>
        <v>2</v>
      </c>
      <c r="AK3" s="34">
        <v>3</v>
      </c>
      <c r="AL3" s="34">
        <v>3</v>
      </c>
      <c r="AM3" s="34">
        <v>3</v>
      </c>
      <c r="AN3" s="34">
        <v>3</v>
      </c>
      <c r="AO3" s="34">
        <v>3</v>
      </c>
      <c r="AP3" s="34">
        <v>3</v>
      </c>
      <c r="AQ3" s="34">
        <v>3</v>
      </c>
      <c r="AR3" s="34">
        <v>3</v>
      </c>
      <c r="AS3" s="34">
        <v>3</v>
      </c>
      <c r="AT3" s="34">
        <v>3</v>
      </c>
      <c r="AU3" s="34">
        <v>3</v>
      </c>
      <c r="AV3" s="34">
        <v>3</v>
      </c>
      <c r="AW3" s="34">
        <v>4</v>
      </c>
      <c r="AX3" s="34">
        <v>4</v>
      </c>
      <c r="AY3" s="34">
        <v>4</v>
      </c>
      <c r="AZ3" s="34">
        <v>4</v>
      </c>
      <c r="BA3" s="34">
        <v>4</v>
      </c>
      <c r="BB3" s="34">
        <v>4</v>
      </c>
      <c r="BC3" s="34">
        <v>4</v>
      </c>
      <c r="BD3" s="34">
        <v>4</v>
      </c>
      <c r="BE3" s="34">
        <v>4</v>
      </c>
      <c r="BF3" s="34">
        <v>4</v>
      </c>
      <c r="BG3" s="34">
        <v>4</v>
      </c>
      <c r="BH3" s="34">
        <v>4</v>
      </c>
      <c r="BI3" s="34">
        <v>5</v>
      </c>
      <c r="BJ3" s="34">
        <v>5</v>
      </c>
      <c r="BK3" s="34">
        <v>5</v>
      </c>
      <c r="BL3" s="34">
        <v>5</v>
      </c>
      <c r="BM3" s="34">
        <v>5</v>
      </c>
      <c r="BN3" s="34">
        <v>5</v>
      </c>
      <c r="BO3" s="34">
        <v>5</v>
      </c>
      <c r="BP3" s="34">
        <v>5</v>
      </c>
      <c r="BQ3" s="34">
        <v>5</v>
      </c>
      <c r="BR3" s="34">
        <v>5</v>
      </c>
      <c r="BS3" s="34">
        <v>5</v>
      </c>
      <c r="BT3" s="34">
        <v>5</v>
      </c>
      <c r="BU3" s="35"/>
      <c r="BV3" s="36">
        <v>1</v>
      </c>
      <c r="BW3" s="36">
        <v>2</v>
      </c>
      <c r="BX3" s="36">
        <v>3</v>
      </c>
      <c r="BY3" s="36">
        <v>4</v>
      </c>
      <c r="BZ3" s="36">
        <v>5</v>
      </c>
      <c r="CA3" s="35"/>
      <c r="CB3" s="36">
        <v>1</v>
      </c>
      <c r="CC3" s="36">
        <v>2</v>
      </c>
      <c r="CD3" s="36">
        <v>3</v>
      </c>
      <c r="CE3" s="36">
        <v>4</v>
      </c>
      <c r="CF3" s="36">
        <v>5</v>
      </c>
    </row>
    <row r="4" spans="1:84" ht="15.6">
      <c r="A4" s="37" t="s">
        <v>23</v>
      </c>
      <c r="B4" s="113"/>
      <c r="C4" s="32"/>
      <c r="D4" s="33"/>
      <c r="E4" s="26"/>
      <c r="F4" s="26"/>
      <c r="G4" s="26"/>
      <c r="H4" s="26"/>
      <c r="I4" s="26"/>
      <c r="J4" s="26"/>
      <c r="K4" s="26"/>
      <c r="L4" s="26"/>
      <c r="M4" s="39">
        <v>1</v>
      </c>
      <c r="N4" s="39">
        <f t="shared" ref="N4:X4" si="1">M4+1</f>
        <v>2</v>
      </c>
      <c r="O4" s="39">
        <f t="shared" si="1"/>
        <v>3</v>
      </c>
      <c r="P4" s="39">
        <f t="shared" si="1"/>
        <v>4</v>
      </c>
      <c r="Q4" s="39">
        <f t="shared" si="1"/>
        <v>5</v>
      </c>
      <c r="R4" s="39">
        <f t="shared" si="1"/>
        <v>6</v>
      </c>
      <c r="S4" s="39">
        <f t="shared" si="1"/>
        <v>7</v>
      </c>
      <c r="T4" s="39">
        <f t="shared" si="1"/>
        <v>8</v>
      </c>
      <c r="U4" s="39">
        <f t="shared" si="1"/>
        <v>9</v>
      </c>
      <c r="V4" s="39">
        <f t="shared" si="1"/>
        <v>10</v>
      </c>
      <c r="W4" s="39">
        <f t="shared" si="1"/>
        <v>11</v>
      </c>
      <c r="X4" s="39">
        <f t="shared" si="1"/>
        <v>12</v>
      </c>
      <c r="Y4" s="39">
        <f>X4+1</f>
        <v>13</v>
      </c>
      <c r="Z4" s="39">
        <f t="shared" ref="Z4:BT4" si="2">Y4+1</f>
        <v>14</v>
      </c>
      <c r="AA4" s="39">
        <f t="shared" si="2"/>
        <v>15</v>
      </c>
      <c r="AB4" s="39">
        <f t="shared" si="2"/>
        <v>16</v>
      </c>
      <c r="AC4" s="39">
        <f t="shared" si="2"/>
        <v>17</v>
      </c>
      <c r="AD4" s="39">
        <f t="shared" si="2"/>
        <v>18</v>
      </c>
      <c r="AE4" s="39">
        <f t="shared" si="2"/>
        <v>19</v>
      </c>
      <c r="AF4" s="39">
        <f t="shared" si="2"/>
        <v>20</v>
      </c>
      <c r="AG4" s="39">
        <f t="shared" si="2"/>
        <v>21</v>
      </c>
      <c r="AH4" s="39">
        <f t="shared" si="2"/>
        <v>22</v>
      </c>
      <c r="AI4" s="39">
        <f t="shared" si="2"/>
        <v>23</v>
      </c>
      <c r="AJ4" s="39">
        <f t="shared" si="2"/>
        <v>24</v>
      </c>
      <c r="AK4" s="39">
        <f t="shared" si="2"/>
        <v>25</v>
      </c>
      <c r="AL4" s="39">
        <f t="shared" si="2"/>
        <v>26</v>
      </c>
      <c r="AM4" s="39">
        <f t="shared" si="2"/>
        <v>27</v>
      </c>
      <c r="AN4" s="39">
        <f t="shared" si="2"/>
        <v>28</v>
      </c>
      <c r="AO4" s="39">
        <f t="shared" si="2"/>
        <v>29</v>
      </c>
      <c r="AP4" s="39">
        <f t="shared" si="2"/>
        <v>30</v>
      </c>
      <c r="AQ4" s="39">
        <f t="shared" si="2"/>
        <v>31</v>
      </c>
      <c r="AR4" s="39">
        <f t="shared" si="2"/>
        <v>32</v>
      </c>
      <c r="AS4" s="39">
        <f t="shared" si="2"/>
        <v>33</v>
      </c>
      <c r="AT4" s="39">
        <f t="shared" si="2"/>
        <v>34</v>
      </c>
      <c r="AU4" s="39">
        <f t="shared" si="2"/>
        <v>35</v>
      </c>
      <c r="AV4" s="39">
        <f t="shared" si="2"/>
        <v>36</v>
      </c>
      <c r="AW4" s="39">
        <f t="shared" si="2"/>
        <v>37</v>
      </c>
      <c r="AX4" s="39">
        <f t="shared" si="2"/>
        <v>38</v>
      </c>
      <c r="AY4" s="39">
        <f t="shared" si="2"/>
        <v>39</v>
      </c>
      <c r="AZ4" s="39">
        <f t="shared" si="2"/>
        <v>40</v>
      </c>
      <c r="BA4" s="39">
        <f t="shared" si="2"/>
        <v>41</v>
      </c>
      <c r="BB4" s="39">
        <f t="shared" si="2"/>
        <v>42</v>
      </c>
      <c r="BC4" s="39">
        <f t="shared" si="2"/>
        <v>43</v>
      </c>
      <c r="BD4" s="39">
        <f t="shared" si="2"/>
        <v>44</v>
      </c>
      <c r="BE4" s="39">
        <f t="shared" si="2"/>
        <v>45</v>
      </c>
      <c r="BF4" s="39">
        <f t="shared" si="2"/>
        <v>46</v>
      </c>
      <c r="BG4" s="39">
        <f t="shared" si="2"/>
        <v>47</v>
      </c>
      <c r="BH4" s="39">
        <f t="shared" si="2"/>
        <v>48</v>
      </c>
      <c r="BI4" s="39">
        <f t="shared" si="2"/>
        <v>49</v>
      </c>
      <c r="BJ4" s="39">
        <f t="shared" si="2"/>
        <v>50</v>
      </c>
      <c r="BK4" s="39">
        <f t="shared" si="2"/>
        <v>51</v>
      </c>
      <c r="BL4" s="39">
        <f t="shared" si="2"/>
        <v>52</v>
      </c>
      <c r="BM4" s="39">
        <f t="shared" si="2"/>
        <v>53</v>
      </c>
      <c r="BN4" s="39">
        <f t="shared" si="2"/>
        <v>54</v>
      </c>
      <c r="BO4" s="39">
        <f t="shared" si="2"/>
        <v>55</v>
      </c>
      <c r="BP4" s="39">
        <f t="shared" si="2"/>
        <v>56</v>
      </c>
      <c r="BQ4" s="39">
        <f t="shared" si="2"/>
        <v>57</v>
      </c>
      <c r="BR4" s="39">
        <f t="shared" si="2"/>
        <v>58</v>
      </c>
      <c r="BS4" s="39">
        <f t="shared" si="2"/>
        <v>59</v>
      </c>
      <c r="BT4" s="39">
        <f t="shared" si="2"/>
        <v>60</v>
      </c>
      <c r="BU4" s="40"/>
      <c r="BV4" s="39">
        <v>12</v>
      </c>
      <c r="BW4" s="39">
        <v>24</v>
      </c>
      <c r="BX4" s="39">
        <v>36</v>
      </c>
      <c r="BY4" s="39">
        <v>48</v>
      </c>
      <c r="BZ4" s="39">
        <v>60</v>
      </c>
      <c r="CA4" s="35"/>
      <c r="CB4" s="39">
        <v>12</v>
      </c>
      <c r="CC4" s="39">
        <v>24</v>
      </c>
      <c r="CD4" s="39">
        <v>36</v>
      </c>
      <c r="CE4" s="39">
        <v>48</v>
      </c>
      <c r="CF4" s="39">
        <v>60</v>
      </c>
    </row>
    <row r="5" spans="1:84" ht="15.6">
      <c r="A5" s="187" t="s">
        <v>135</v>
      </c>
      <c r="B5" s="187"/>
      <c r="C5" s="188"/>
      <c r="D5" s="188"/>
      <c r="E5" s="188"/>
      <c r="F5" s="188"/>
      <c r="G5" s="188"/>
      <c r="H5" s="188"/>
      <c r="I5" s="188"/>
      <c r="J5" s="188"/>
      <c r="K5" s="188"/>
      <c r="BU5" s="35"/>
      <c r="BV5" s="58"/>
      <c r="BW5" s="58"/>
      <c r="BX5" s="58"/>
      <c r="BY5" s="58"/>
      <c r="BZ5" s="58"/>
      <c r="CA5" s="35"/>
    </row>
    <row r="6" spans="1:84">
      <c r="A6" s="188"/>
      <c r="B6" s="188" t="s">
        <v>136</v>
      </c>
      <c r="C6" s="188"/>
      <c r="D6" s="188"/>
      <c r="E6" s="188"/>
      <c r="F6" s="188"/>
      <c r="G6" s="188"/>
      <c r="H6" s="188"/>
      <c r="I6" s="188"/>
      <c r="J6" s="188"/>
      <c r="K6" s="188"/>
      <c r="M6" s="135">
        <f>'Revenue Buildup'!M11</f>
        <v>1</v>
      </c>
      <c r="N6" s="135">
        <f>'Revenue Buildup'!N11</f>
        <v>1</v>
      </c>
      <c r="O6" s="135">
        <f>'Revenue Buildup'!O11</f>
        <v>2</v>
      </c>
      <c r="P6" s="135">
        <f>'Revenue Buildup'!P11</f>
        <v>2</v>
      </c>
      <c r="Q6" s="135">
        <f>'Revenue Buildup'!Q11</f>
        <v>2</v>
      </c>
      <c r="R6" s="135">
        <f>'Revenue Buildup'!R11</f>
        <v>3</v>
      </c>
      <c r="S6" s="135">
        <f>'Revenue Buildup'!S11</f>
        <v>3</v>
      </c>
      <c r="T6" s="135">
        <f>'Revenue Buildup'!T11</f>
        <v>3</v>
      </c>
      <c r="U6" s="135">
        <f>'Revenue Buildup'!U11</f>
        <v>4</v>
      </c>
      <c r="V6" s="135">
        <f>'Revenue Buildup'!V11</f>
        <v>4</v>
      </c>
      <c r="W6" s="135">
        <f>'Revenue Buildup'!W11</f>
        <v>4</v>
      </c>
      <c r="X6" s="135">
        <f>'Revenue Buildup'!X11</f>
        <v>5</v>
      </c>
      <c r="Y6" s="135">
        <f>'Revenue Buildup'!Y11</f>
        <v>5</v>
      </c>
      <c r="Z6" s="135">
        <f>'Revenue Buildup'!Z11</f>
        <v>5</v>
      </c>
      <c r="AA6" s="135">
        <f>'Revenue Buildup'!AA11</f>
        <v>6</v>
      </c>
      <c r="AB6" s="135">
        <f>'Revenue Buildup'!AB11</f>
        <v>6</v>
      </c>
      <c r="AC6" s="135">
        <f>'Revenue Buildup'!AC11</f>
        <v>6</v>
      </c>
      <c r="AD6" s="135">
        <f>'Revenue Buildup'!AD11</f>
        <v>7</v>
      </c>
      <c r="AE6" s="135">
        <f>'Revenue Buildup'!AE11</f>
        <v>7</v>
      </c>
      <c r="AF6" s="135">
        <f>'Revenue Buildup'!AF11</f>
        <v>7</v>
      </c>
      <c r="AG6" s="135">
        <f>'Revenue Buildup'!AG11</f>
        <v>8</v>
      </c>
      <c r="AH6" s="135">
        <f>'Revenue Buildup'!AH11</f>
        <v>8</v>
      </c>
      <c r="AI6" s="135">
        <f>'Revenue Buildup'!AI11</f>
        <v>8</v>
      </c>
      <c r="AJ6" s="135">
        <f>'Revenue Buildup'!AJ11</f>
        <v>9</v>
      </c>
      <c r="AK6" s="135">
        <f>'Revenue Buildup'!AK11</f>
        <v>9</v>
      </c>
      <c r="AL6" s="135">
        <f>'Revenue Buildup'!AL11</f>
        <v>9</v>
      </c>
      <c r="AM6" s="135">
        <f>'Revenue Buildup'!AM11</f>
        <v>9</v>
      </c>
      <c r="AN6" s="135">
        <f>'Revenue Buildup'!AN11</f>
        <v>9</v>
      </c>
      <c r="AO6" s="135">
        <f>'Revenue Buildup'!AO11</f>
        <v>9</v>
      </c>
      <c r="AP6" s="135">
        <f>'Revenue Buildup'!AP11</f>
        <v>10</v>
      </c>
      <c r="AQ6" s="135">
        <f>'Revenue Buildup'!AQ11</f>
        <v>10</v>
      </c>
      <c r="AR6" s="135">
        <f>'Revenue Buildup'!AR11</f>
        <v>10</v>
      </c>
      <c r="AS6" s="135">
        <f>'Revenue Buildup'!AS11</f>
        <v>10</v>
      </c>
      <c r="AT6" s="135">
        <f>'Revenue Buildup'!AT11</f>
        <v>10</v>
      </c>
      <c r="AU6" s="135">
        <f>'Revenue Buildup'!AU11</f>
        <v>10</v>
      </c>
      <c r="AV6" s="135">
        <f>'Revenue Buildup'!AV11</f>
        <v>11</v>
      </c>
      <c r="AW6" s="135">
        <f>'Revenue Buildup'!AW11</f>
        <v>11</v>
      </c>
      <c r="AX6" s="135">
        <f>'Revenue Buildup'!AX11</f>
        <v>11</v>
      </c>
      <c r="AY6" s="135">
        <f>'Revenue Buildup'!AY11</f>
        <v>11</v>
      </c>
      <c r="AZ6" s="135">
        <f>'Revenue Buildup'!AZ11</f>
        <v>12</v>
      </c>
      <c r="BA6" s="135">
        <f>'Revenue Buildup'!BA11</f>
        <v>12</v>
      </c>
      <c r="BB6" s="135">
        <f>'Revenue Buildup'!BB11</f>
        <v>12</v>
      </c>
      <c r="BC6" s="135">
        <f>'Revenue Buildup'!BC11</f>
        <v>12</v>
      </c>
      <c r="BD6" s="135">
        <f>'Revenue Buildup'!BD11</f>
        <v>13</v>
      </c>
      <c r="BE6" s="135">
        <f>'Revenue Buildup'!BE11</f>
        <v>13</v>
      </c>
      <c r="BF6" s="135">
        <f>'Revenue Buildup'!BF11</f>
        <v>13</v>
      </c>
      <c r="BG6" s="135">
        <f>'Revenue Buildup'!BG11</f>
        <v>13</v>
      </c>
      <c r="BH6" s="135">
        <f>'Revenue Buildup'!BH11</f>
        <v>14</v>
      </c>
      <c r="BI6" s="135">
        <f>'Revenue Buildup'!BI11</f>
        <v>14</v>
      </c>
      <c r="BJ6" s="135">
        <f>'Revenue Buildup'!BJ11</f>
        <v>15</v>
      </c>
      <c r="BK6" s="135">
        <f>'Revenue Buildup'!BK11</f>
        <v>15</v>
      </c>
      <c r="BL6" s="135">
        <f>'Revenue Buildup'!BL11</f>
        <v>16</v>
      </c>
      <c r="BM6" s="135">
        <f>'Revenue Buildup'!BM11</f>
        <v>16</v>
      </c>
      <c r="BN6" s="135">
        <f>'Revenue Buildup'!BN11</f>
        <v>17</v>
      </c>
      <c r="BO6" s="135">
        <f>'Revenue Buildup'!BO11</f>
        <v>17</v>
      </c>
      <c r="BP6" s="135">
        <f>'Revenue Buildup'!BP11</f>
        <v>18</v>
      </c>
      <c r="BQ6" s="135">
        <f>'Revenue Buildup'!BQ11</f>
        <v>18</v>
      </c>
      <c r="BR6" s="135">
        <f>'Revenue Buildup'!BR11</f>
        <v>19</v>
      </c>
      <c r="BS6" s="135">
        <f>'Revenue Buildup'!BS11</f>
        <v>19</v>
      </c>
      <c r="BT6" s="135">
        <f>'Revenue Buildup'!BT11</f>
        <v>20</v>
      </c>
      <c r="BU6" s="35"/>
      <c r="BV6" s="145">
        <f>INDEX($M6:$BT6,MATCH(BV$4,$M$4:$BT$4,0))</f>
        <v>5</v>
      </c>
      <c r="BW6" s="145">
        <f>INDEX($M6:$BT6,MATCH(BW$4,$M$4:$BT$4,0))</f>
        <v>9</v>
      </c>
      <c r="BX6" s="145">
        <f>INDEX($M6:$BT6,MATCH(BX$4,$M$4:$BT$4,0))</f>
        <v>11</v>
      </c>
      <c r="BY6" s="145">
        <f>INDEX($M6:$BT6,MATCH(BY$4,$M$4:$BT$4,0))</f>
        <v>14</v>
      </c>
      <c r="BZ6" s="145">
        <f>INDEX($M6:$BT6,MATCH(BZ$4,$M$4:$BT$4,0))</f>
        <v>20</v>
      </c>
      <c r="CA6" s="35"/>
      <c r="CB6" s="189"/>
    </row>
    <row r="7" spans="1:84">
      <c r="A7" s="188" t="s">
        <v>137</v>
      </c>
      <c r="B7" s="190" t="s">
        <v>111</v>
      </c>
      <c r="C7" s="190"/>
      <c r="D7" s="188"/>
      <c r="E7" s="188"/>
      <c r="F7" s="188"/>
      <c r="G7" s="188"/>
      <c r="H7" s="188"/>
      <c r="I7" s="188"/>
      <c r="J7" s="188"/>
      <c r="K7" s="188"/>
      <c r="M7" s="135">
        <f>'Revenue Buildup'!M16</f>
        <v>6250</v>
      </c>
      <c r="N7" s="135">
        <f>'Revenue Buildup'!N16</f>
        <v>6250</v>
      </c>
      <c r="O7" s="135">
        <f>'Revenue Buildup'!O16</f>
        <v>12500</v>
      </c>
      <c r="P7" s="135">
        <f>'Revenue Buildup'!P16</f>
        <v>12500</v>
      </c>
      <c r="Q7" s="135">
        <f>'Revenue Buildup'!Q16</f>
        <v>12500</v>
      </c>
      <c r="R7" s="135">
        <f>'Revenue Buildup'!R16</f>
        <v>18750</v>
      </c>
      <c r="S7" s="135">
        <f>'Revenue Buildup'!S16</f>
        <v>18750</v>
      </c>
      <c r="T7" s="135">
        <f>'Revenue Buildup'!T16</f>
        <v>18750</v>
      </c>
      <c r="U7" s="135">
        <f>'Revenue Buildup'!U16</f>
        <v>25000</v>
      </c>
      <c r="V7" s="135">
        <f>'Revenue Buildup'!V16</f>
        <v>25000</v>
      </c>
      <c r="W7" s="135">
        <f>'Revenue Buildup'!W16</f>
        <v>25000</v>
      </c>
      <c r="X7" s="135">
        <f>'Revenue Buildup'!X16</f>
        <v>31250</v>
      </c>
      <c r="Y7" s="135">
        <f>'Revenue Buildup'!Y16</f>
        <v>31250</v>
      </c>
      <c r="Z7" s="135">
        <f>'Revenue Buildup'!Z16</f>
        <v>31250</v>
      </c>
      <c r="AA7" s="135">
        <f>'Revenue Buildup'!AA16</f>
        <v>37500</v>
      </c>
      <c r="AB7" s="135">
        <f>'Revenue Buildup'!AB16</f>
        <v>37500</v>
      </c>
      <c r="AC7" s="135">
        <f>'Revenue Buildup'!AC16</f>
        <v>37500</v>
      </c>
      <c r="AD7" s="135">
        <f>'Revenue Buildup'!AD16</f>
        <v>43750</v>
      </c>
      <c r="AE7" s="135">
        <f>'Revenue Buildup'!AE16</f>
        <v>43750</v>
      </c>
      <c r="AF7" s="135">
        <f>'Revenue Buildup'!AF16</f>
        <v>43750</v>
      </c>
      <c r="AG7" s="135">
        <f>'Revenue Buildup'!AG16</f>
        <v>50000</v>
      </c>
      <c r="AH7" s="135">
        <f>'Revenue Buildup'!AH16</f>
        <v>50000</v>
      </c>
      <c r="AI7" s="135">
        <f>'Revenue Buildup'!AI16</f>
        <v>50000</v>
      </c>
      <c r="AJ7" s="135">
        <f>'Revenue Buildup'!AJ16</f>
        <v>56250</v>
      </c>
      <c r="AK7" s="135">
        <f>'Revenue Buildup'!AK16</f>
        <v>56250</v>
      </c>
      <c r="AL7" s="135">
        <f>'Revenue Buildup'!AL16</f>
        <v>56250</v>
      </c>
      <c r="AM7" s="135">
        <f>'Revenue Buildup'!AM16</f>
        <v>56250</v>
      </c>
      <c r="AN7" s="135">
        <f>'Revenue Buildup'!AN16</f>
        <v>56250</v>
      </c>
      <c r="AO7" s="135">
        <f>'Revenue Buildup'!AO16</f>
        <v>56250</v>
      </c>
      <c r="AP7" s="135">
        <f>'Revenue Buildup'!AP16</f>
        <v>62500</v>
      </c>
      <c r="AQ7" s="135">
        <f>'Revenue Buildup'!AQ16</f>
        <v>62500</v>
      </c>
      <c r="AR7" s="135">
        <f>'Revenue Buildup'!AR16</f>
        <v>62500</v>
      </c>
      <c r="AS7" s="135">
        <f>'Revenue Buildup'!AS16</f>
        <v>62500</v>
      </c>
      <c r="AT7" s="135">
        <f>'Revenue Buildup'!AT16</f>
        <v>62500</v>
      </c>
      <c r="AU7" s="135">
        <f>'Revenue Buildup'!AU16</f>
        <v>62500</v>
      </c>
      <c r="AV7" s="135">
        <f>'Revenue Buildup'!AV16</f>
        <v>68750</v>
      </c>
      <c r="AW7" s="135">
        <f>'Revenue Buildup'!AW16</f>
        <v>68750</v>
      </c>
      <c r="AX7" s="135">
        <f>'Revenue Buildup'!AX16</f>
        <v>68750</v>
      </c>
      <c r="AY7" s="135">
        <f>'Revenue Buildup'!AY16</f>
        <v>68750</v>
      </c>
      <c r="AZ7" s="135">
        <f>'Revenue Buildup'!AZ16</f>
        <v>75000</v>
      </c>
      <c r="BA7" s="135">
        <f>'Revenue Buildup'!BA16</f>
        <v>75000</v>
      </c>
      <c r="BB7" s="135">
        <f>'Revenue Buildup'!BB16</f>
        <v>75000</v>
      </c>
      <c r="BC7" s="135">
        <f>'Revenue Buildup'!BC16</f>
        <v>75000</v>
      </c>
      <c r="BD7" s="135">
        <f>'Revenue Buildup'!BD16</f>
        <v>81250</v>
      </c>
      <c r="BE7" s="135">
        <f>'Revenue Buildup'!BE16</f>
        <v>81250</v>
      </c>
      <c r="BF7" s="135">
        <f>'Revenue Buildup'!BF16</f>
        <v>81250</v>
      </c>
      <c r="BG7" s="135">
        <f>'Revenue Buildup'!BG16</f>
        <v>81250</v>
      </c>
      <c r="BH7" s="135">
        <f>'Revenue Buildup'!BH16</f>
        <v>87500</v>
      </c>
      <c r="BI7" s="135">
        <f>'Revenue Buildup'!BI16</f>
        <v>87500</v>
      </c>
      <c r="BJ7" s="135">
        <f>'Revenue Buildup'!BJ16</f>
        <v>93750</v>
      </c>
      <c r="BK7" s="135">
        <f>'Revenue Buildup'!BK16</f>
        <v>93750</v>
      </c>
      <c r="BL7" s="135">
        <f>'Revenue Buildup'!BL16</f>
        <v>100000</v>
      </c>
      <c r="BM7" s="135">
        <f>'Revenue Buildup'!BM16</f>
        <v>100000</v>
      </c>
      <c r="BN7" s="135">
        <f>'Revenue Buildup'!BN16</f>
        <v>106250</v>
      </c>
      <c r="BO7" s="135">
        <f>'Revenue Buildup'!BO16</f>
        <v>106250</v>
      </c>
      <c r="BP7" s="135">
        <f>'Revenue Buildup'!BP16</f>
        <v>112500</v>
      </c>
      <c r="BQ7" s="135">
        <f>'Revenue Buildup'!BQ16</f>
        <v>112500</v>
      </c>
      <c r="BR7" s="135">
        <f>'Revenue Buildup'!BR16</f>
        <v>118750</v>
      </c>
      <c r="BS7" s="135">
        <f>'Revenue Buildup'!BS16</f>
        <v>118750</v>
      </c>
      <c r="BT7" s="135">
        <f>'Revenue Buildup'!BT16</f>
        <v>125000</v>
      </c>
      <c r="BU7" s="35"/>
      <c r="BV7" s="145">
        <f>SUMIF($M$3:$BT$3,BV$3,$M7:$BT7)</f>
        <v>212500</v>
      </c>
      <c r="BW7" s="145">
        <f>SUMIF($M$3:$BT$3,BW$3,$M7:$BT7)</f>
        <v>512500</v>
      </c>
      <c r="BX7" s="145">
        <f>SUMIF($M$3:$BT$3,BX$3,$M7:$BT7)</f>
        <v>725000</v>
      </c>
      <c r="BY7" s="145">
        <f>SUMIF($M$3:$BT$3,BY$3,$M7:$BT7)</f>
        <v>918750</v>
      </c>
      <c r="BZ7" s="145">
        <f>SUMIF($M$3:$BT$3,BZ$3,$M7:$BT7)</f>
        <v>1275000</v>
      </c>
      <c r="CA7" s="35"/>
      <c r="CB7" s="189">
        <f>BV7/BV$7</f>
        <v>1</v>
      </c>
      <c r="CC7" s="189">
        <f>BW7/BW$7</f>
        <v>1</v>
      </c>
      <c r="CD7" s="189">
        <f>BX7/BX$7</f>
        <v>1</v>
      </c>
      <c r="CE7" s="189">
        <f>BY7/BY$7</f>
        <v>1</v>
      </c>
      <c r="CF7" s="189">
        <f>BZ7/BZ$7</f>
        <v>1</v>
      </c>
    </row>
    <row r="8" spans="1:84" ht="15.6">
      <c r="A8" s="187" t="s">
        <v>138</v>
      </c>
      <c r="B8" s="187"/>
      <c r="C8" s="188"/>
      <c r="D8" s="188"/>
      <c r="E8" s="188"/>
      <c r="F8" s="188"/>
      <c r="G8" s="188"/>
      <c r="H8" s="188"/>
      <c r="I8" s="188"/>
      <c r="J8" s="188"/>
      <c r="K8" s="188"/>
      <c r="BU8" s="35"/>
      <c r="BV8" s="58"/>
      <c r="BW8" s="191"/>
      <c r="BX8" s="191"/>
      <c r="BY8" s="191"/>
      <c r="BZ8" s="191"/>
      <c r="CA8" s="35"/>
    </row>
    <row r="9" spans="1:84" ht="15.6">
      <c r="A9" s="188" t="s">
        <v>139</v>
      </c>
      <c r="B9" s="144" t="str">
        <f>'Cost Buildup'!A6</f>
        <v>Hosting &amp; Infrastructure Costs</v>
      </c>
      <c r="C9" s="188"/>
      <c r="D9" s="187"/>
      <c r="E9" s="187"/>
      <c r="F9" s="187"/>
      <c r="G9" s="188"/>
      <c r="H9" s="188"/>
      <c r="I9" s="188"/>
      <c r="J9" s="188"/>
      <c r="K9" s="188"/>
      <c r="M9" s="192">
        <f>'Cost Buildup'!M6</f>
        <v>375</v>
      </c>
      <c r="N9" s="135">
        <f>'Cost Buildup'!N6</f>
        <v>375</v>
      </c>
      <c r="O9" s="135">
        <f>'Cost Buildup'!O6</f>
        <v>750</v>
      </c>
      <c r="P9" s="135">
        <f>'Cost Buildup'!P6</f>
        <v>750</v>
      </c>
      <c r="Q9" s="135">
        <f>'Cost Buildup'!Q6</f>
        <v>750</v>
      </c>
      <c r="R9" s="135">
        <f>'Cost Buildup'!R6</f>
        <v>1125</v>
      </c>
      <c r="S9" s="135">
        <f>'Cost Buildup'!S6</f>
        <v>1125</v>
      </c>
      <c r="T9" s="135">
        <f>'Cost Buildup'!T6</f>
        <v>1125</v>
      </c>
      <c r="U9" s="135">
        <f>'Cost Buildup'!U6</f>
        <v>1500</v>
      </c>
      <c r="V9" s="135">
        <f>'Cost Buildup'!V6</f>
        <v>1500</v>
      </c>
      <c r="W9" s="135">
        <f>'Cost Buildup'!W6</f>
        <v>1500</v>
      </c>
      <c r="X9" s="135">
        <f>'Cost Buildup'!X6</f>
        <v>1875</v>
      </c>
      <c r="Y9" s="135">
        <f>'Cost Buildup'!Y6</f>
        <v>1875</v>
      </c>
      <c r="Z9" s="135">
        <f>'Cost Buildup'!Z6</f>
        <v>1875</v>
      </c>
      <c r="AA9" s="135">
        <f>'Cost Buildup'!AA6</f>
        <v>2250</v>
      </c>
      <c r="AB9" s="135">
        <f>'Cost Buildup'!AB6</f>
        <v>2250</v>
      </c>
      <c r="AC9" s="135">
        <f>'Cost Buildup'!AC6</f>
        <v>2250</v>
      </c>
      <c r="AD9" s="135">
        <f>'Cost Buildup'!AD6</f>
        <v>2625</v>
      </c>
      <c r="AE9" s="135">
        <f>'Cost Buildup'!AE6</f>
        <v>2625</v>
      </c>
      <c r="AF9" s="135">
        <f>'Cost Buildup'!AF6</f>
        <v>2625</v>
      </c>
      <c r="AG9" s="135">
        <f>'Cost Buildup'!AG6</f>
        <v>3000</v>
      </c>
      <c r="AH9" s="135">
        <f>'Cost Buildup'!AH6</f>
        <v>3000</v>
      </c>
      <c r="AI9" s="135">
        <f>'Cost Buildup'!AI6</f>
        <v>3000</v>
      </c>
      <c r="AJ9" s="135">
        <f>'Cost Buildup'!AJ6</f>
        <v>3375</v>
      </c>
      <c r="AK9" s="135">
        <f>'Cost Buildup'!AK6</f>
        <v>3375</v>
      </c>
      <c r="AL9" s="135">
        <f>'Cost Buildup'!AL6</f>
        <v>3375</v>
      </c>
      <c r="AM9" s="135">
        <f>'Cost Buildup'!AM6</f>
        <v>3375</v>
      </c>
      <c r="AN9" s="135">
        <f>'Cost Buildup'!AN6</f>
        <v>3375</v>
      </c>
      <c r="AO9" s="135">
        <f>'Cost Buildup'!AO6</f>
        <v>3375</v>
      </c>
      <c r="AP9" s="135">
        <f>'Cost Buildup'!AP6</f>
        <v>3750</v>
      </c>
      <c r="AQ9" s="135">
        <f>'Cost Buildup'!AQ6</f>
        <v>3750</v>
      </c>
      <c r="AR9" s="135">
        <f>'Cost Buildup'!AR6</f>
        <v>3750</v>
      </c>
      <c r="AS9" s="135">
        <f>'Cost Buildup'!AS6</f>
        <v>3750</v>
      </c>
      <c r="AT9" s="135">
        <f>'Cost Buildup'!AT6</f>
        <v>3750</v>
      </c>
      <c r="AU9" s="135">
        <f>'Cost Buildup'!AU6</f>
        <v>3750</v>
      </c>
      <c r="AV9" s="135">
        <f>'Cost Buildup'!AV6</f>
        <v>4125</v>
      </c>
      <c r="AW9" s="135">
        <f>'Cost Buildup'!AW6</f>
        <v>4125</v>
      </c>
      <c r="AX9" s="135">
        <f>'Cost Buildup'!AX6</f>
        <v>4125</v>
      </c>
      <c r="AY9" s="135">
        <f>'Cost Buildup'!AY6</f>
        <v>4125</v>
      </c>
      <c r="AZ9" s="135">
        <f>'Cost Buildup'!AZ6</f>
        <v>4500</v>
      </c>
      <c r="BA9" s="135">
        <f>'Cost Buildup'!BA6</f>
        <v>4500</v>
      </c>
      <c r="BB9" s="135">
        <f>'Cost Buildup'!BB6</f>
        <v>4500</v>
      </c>
      <c r="BC9" s="135">
        <f>'Cost Buildup'!BC6</f>
        <v>4500</v>
      </c>
      <c r="BD9" s="135">
        <f>'Cost Buildup'!BD6</f>
        <v>4875</v>
      </c>
      <c r="BE9" s="135">
        <f>'Cost Buildup'!BE6</f>
        <v>4875</v>
      </c>
      <c r="BF9" s="135">
        <f>'Cost Buildup'!BF6</f>
        <v>4875</v>
      </c>
      <c r="BG9" s="135">
        <f>'Cost Buildup'!BG6</f>
        <v>4875</v>
      </c>
      <c r="BH9" s="135">
        <f>'Cost Buildup'!BH6</f>
        <v>5250</v>
      </c>
      <c r="BI9" s="135">
        <f>'Cost Buildup'!BI6</f>
        <v>5250</v>
      </c>
      <c r="BJ9" s="135">
        <f>'Cost Buildup'!BJ6</f>
        <v>5625</v>
      </c>
      <c r="BK9" s="135">
        <f>'Cost Buildup'!BK6</f>
        <v>5625</v>
      </c>
      <c r="BL9" s="135">
        <f>'Cost Buildup'!BL6</f>
        <v>6000</v>
      </c>
      <c r="BM9" s="135">
        <f>'Cost Buildup'!BM6</f>
        <v>6000</v>
      </c>
      <c r="BN9" s="135">
        <f>'Cost Buildup'!BN6</f>
        <v>6375</v>
      </c>
      <c r="BO9" s="135">
        <f>'Cost Buildup'!BO6</f>
        <v>6375</v>
      </c>
      <c r="BP9" s="135">
        <f>'Cost Buildup'!BP6</f>
        <v>6750</v>
      </c>
      <c r="BQ9" s="135">
        <f>'Cost Buildup'!BQ6</f>
        <v>6750</v>
      </c>
      <c r="BR9" s="135">
        <f>'Cost Buildup'!BR6</f>
        <v>7125</v>
      </c>
      <c r="BS9" s="135">
        <f>'Cost Buildup'!BS6</f>
        <v>7125</v>
      </c>
      <c r="BT9" s="135">
        <f>'Cost Buildup'!BT6</f>
        <v>7500</v>
      </c>
      <c r="BU9" s="35"/>
      <c r="BV9" s="145">
        <f t="shared" ref="BV9:BZ11" si="3">SUMIF($M$3:$BT$3,BV$3,$M9:$BT9)</f>
        <v>12750</v>
      </c>
      <c r="BW9" s="145">
        <f t="shared" si="3"/>
        <v>30750</v>
      </c>
      <c r="BX9" s="145">
        <f t="shared" si="3"/>
        <v>43500</v>
      </c>
      <c r="BY9" s="145">
        <f t="shared" si="3"/>
        <v>55125</v>
      </c>
      <c r="BZ9" s="145">
        <f t="shared" si="3"/>
        <v>76500</v>
      </c>
      <c r="CA9" s="35"/>
      <c r="CB9" s="189">
        <f t="shared" ref="CB9:CF12" si="4">BV9/BV$7</f>
        <v>0.06</v>
      </c>
      <c r="CC9" s="189">
        <f t="shared" si="4"/>
        <v>0.06</v>
      </c>
      <c r="CD9" s="189">
        <f t="shared" si="4"/>
        <v>0.06</v>
      </c>
      <c r="CE9" s="189">
        <f t="shared" si="4"/>
        <v>0.06</v>
      </c>
      <c r="CF9" s="189">
        <f t="shared" si="4"/>
        <v>0.06</v>
      </c>
    </row>
    <row r="10" spans="1:84" ht="15.6">
      <c r="A10" s="188" t="s">
        <v>139</v>
      </c>
      <c r="B10" s="144" t="str">
        <f>'Cost Buildup'!A12</f>
        <v>Customer Support</v>
      </c>
      <c r="C10" s="188"/>
      <c r="D10" s="188"/>
      <c r="E10" s="187"/>
      <c r="F10" s="187"/>
      <c r="G10" s="188"/>
      <c r="H10" s="188"/>
      <c r="I10" s="188"/>
      <c r="J10" s="188"/>
      <c r="K10" s="188"/>
      <c r="M10" s="192">
        <f>'Cost Buildup'!M12</f>
        <v>0</v>
      </c>
      <c r="N10" s="135">
        <f>'Cost Buildup'!N12</f>
        <v>0</v>
      </c>
      <c r="O10" s="135">
        <f>'Cost Buildup'!O12</f>
        <v>0</v>
      </c>
      <c r="P10" s="135">
        <f>'Cost Buildup'!P12</f>
        <v>0</v>
      </c>
      <c r="Q10" s="135">
        <f>'Cost Buildup'!Q12</f>
        <v>0</v>
      </c>
      <c r="R10" s="135">
        <f>'Cost Buildup'!R12</f>
        <v>821.88564048373837</v>
      </c>
      <c r="S10" s="135">
        <f>'Cost Buildup'!S12</f>
        <v>821.88564048373837</v>
      </c>
      <c r="T10" s="135">
        <f>'Cost Buildup'!T12</f>
        <v>821.88564048373837</v>
      </c>
      <c r="U10" s="135">
        <f>'Cost Buildup'!U12</f>
        <v>821.88564048373837</v>
      </c>
      <c r="V10" s="135">
        <f>'Cost Buildup'!V12</f>
        <v>821.88564048373837</v>
      </c>
      <c r="W10" s="135">
        <f>'Cost Buildup'!W12</f>
        <v>821.88564048373837</v>
      </c>
      <c r="X10" s="135">
        <f>'Cost Buildup'!X12</f>
        <v>821.88564048373837</v>
      </c>
      <c r="Y10" s="135">
        <f>'Cost Buildup'!Y12</f>
        <v>862.97992250792538</v>
      </c>
      <c r="Z10" s="135">
        <f>'Cost Buildup'!Z12</f>
        <v>862.97992250792538</v>
      </c>
      <c r="AA10" s="135">
        <f>'Cost Buildup'!AA12</f>
        <v>862.97992250792538</v>
      </c>
      <c r="AB10" s="135">
        <f>'Cost Buildup'!AB12</f>
        <v>862.97992250792538</v>
      </c>
      <c r="AC10" s="135">
        <f>'Cost Buildup'!AC12</f>
        <v>862.97992250792538</v>
      </c>
      <c r="AD10" s="135">
        <f>'Cost Buildup'!AD12</f>
        <v>862.97992250792538</v>
      </c>
      <c r="AE10" s="135">
        <f>'Cost Buildup'!AE12</f>
        <v>862.97992250792538</v>
      </c>
      <c r="AF10" s="135">
        <f>'Cost Buildup'!AF12</f>
        <v>862.97992250792538</v>
      </c>
      <c r="AG10" s="135">
        <f>'Cost Buildup'!AG12</f>
        <v>1725.9598450158508</v>
      </c>
      <c r="AH10" s="135">
        <f>'Cost Buildup'!AH12</f>
        <v>1725.9598450158508</v>
      </c>
      <c r="AI10" s="135">
        <f>'Cost Buildup'!AI12</f>
        <v>1725.9598450158508</v>
      </c>
      <c r="AJ10" s="135">
        <f>'Cost Buildup'!AJ12</f>
        <v>1725.9598450158508</v>
      </c>
      <c r="AK10" s="135">
        <f>'Cost Buildup'!AK12</f>
        <v>1812.2578372666433</v>
      </c>
      <c r="AL10" s="135">
        <f>'Cost Buildup'!AL12</f>
        <v>1812.2578372666433</v>
      </c>
      <c r="AM10" s="135">
        <f>'Cost Buildup'!AM12</f>
        <v>1812.2578372666433</v>
      </c>
      <c r="AN10" s="135">
        <f>'Cost Buildup'!AN12</f>
        <v>1812.2578372666433</v>
      </c>
      <c r="AO10" s="135">
        <f>'Cost Buildup'!AO12</f>
        <v>1812.2578372666433</v>
      </c>
      <c r="AP10" s="135">
        <f>'Cost Buildup'!AP12</f>
        <v>1812.2578372666433</v>
      </c>
      <c r="AQ10" s="135">
        <f>'Cost Buildup'!AQ12</f>
        <v>1812.2578372666433</v>
      </c>
      <c r="AR10" s="135">
        <f>'Cost Buildup'!AR12</f>
        <v>1812.2578372666433</v>
      </c>
      <c r="AS10" s="135">
        <f>'Cost Buildup'!AS12</f>
        <v>1812.2578372666433</v>
      </c>
      <c r="AT10" s="135">
        <f>'Cost Buildup'!AT12</f>
        <v>1812.2578372666433</v>
      </c>
      <c r="AU10" s="135">
        <f>'Cost Buildup'!AU12</f>
        <v>1812.2578372666433</v>
      </c>
      <c r="AV10" s="135">
        <f>'Cost Buildup'!AV12</f>
        <v>1812.2578372666433</v>
      </c>
      <c r="AW10" s="135">
        <f>'Cost Buildup'!AW12</f>
        <v>1902.8707291299754</v>
      </c>
      <c r="AX10" s="135">
        <f>'Cost Buildup'!AX12</f>
        <v>1902.8707291299754</v>
      </c>
      <c r="AY10" s="135">
        <f>'Cost Buildup'!AY12</f>
        <v>1902.8707291299754</v>
      </c>
      <c r="AZ10" s="135">
        <f>'Cost Buildup'!AZ12</f>
        <v>1902.8707291299754</v>
      </c>
      <c r="BA10" s="135">
        <f>'Cost Buildup'!BA12</f>
        <v>1902.8707291299754</v>
      </c>
      <c r="BB10" s="135">
        <f>'Cost Buildup'!BB12</f>
        <v>1902.8707291299754</v>
      </c>
      <c r="BC10" s="135">
        <f>'Cost Buildup'!BC12</f>
        <v>1902.8707291299754</v>
      </c>
      <c r="BD10" s="135">
        <f>'Cost Buildup'!BD12</f>
        <v>2854.3060936949632</v>
      </c>
      <c r="BE10" s="135">
        <f>'Cost Buildup'!BE12</f>
        <v>2854.3060936949632</v>
      </c>
      <c r="BF10" s="135">
        <f>'Cost Buildup'!BF12</f>
        <v>2854.3060936949632</v>
      </c>
      <c r="BG10" s="135">
        <f>'Cost Buildup'!BG12</f>
        <v>2854.3060936949632</v>
      </c>
      <c r="BH10" s="135">
        <f>'Cost Buildup'!BH12</f>
        <v>2854.3060936949632</v>
      </c>
      <c r="BI10" s="135">
        <f>'Cost Buildup'!BI12</f>
        <v>2997.0213983797112</v>
      </c>
      <c r="BJ10" s="135">
        <f>'Cost Buildup'!BJ12</f>
        <v>2997.0213983797112</v>
      </c>
      <c r="BK10" s="135">
        <f>'Cost Buildup'!BK12</f>
        <v>2997.0213983797112</v>
      </c>
      <c r="BL10" s="135">
        <f>'Cost Buildup'!BL12</f>
        <v>2997.0213983797112</v>
      </c>
      <c r="BM10" s="135">
        <f>'Cost Buildup'!BM12</f>
        <v>2997.0213983797112</v>
      </c>
      <c r="BN10" s="135">
        <f>'Cost Buildup'!BN12</f>
        <v>2997.0213983797112</v>
      </c>
      <c r="BO10" s="135">
        <f>'Cost Buildup'!BO12</f>
        <v>2997.0213983797112</v>
      </c>
      <c r="BP10" s="135">
        <f>'Cost Buildup'!BP12</f>
        <v>3996.0285311729481</v>
      </c>
      <c r="BQ10" s="135">
        <f>'Cost Buildup'!BQ12</f>
        <v>3996.0285311729481</v>
      </c>
      <c r="BR10" s="135">
        <f>'Cost Buildup'!BR12</f>
        <v>3996.0285311729481</v>
      </c>
      <c r="BS10" s="135">
        <f>'Cost Buildup'!BS12</f>
        <v>3996.0285311729481</v>
      </c>
      <c r="BT10" s="135">
        <f>'Cost Buildup'!BT12</f>
        <v>3996.0285311729481</v>
      </c>
      <c r="BU10" s="35"/>
      <c r="BV10" s="145">
        <f t="shared" si="3"/>
        <v>5753.19948338617</v>
      </c>
      <c r="BW10" s="145">
        <f t="shared" si="3"/>
        <v>13807.678760126802</v>
      </c>
      <c r="BX10" s="145">
        <f t="shared" si="3"/>
        <v>21747.09404719972</v>
      </c>
      <c r="BY10" s="145">
        <f t="shared" si="3"/>
        <v>27591.625572384641</v>
      </c>
      <c r="BZ10" s="145">
        <f t="shared" si="3"/>
        <v>40959.292444522718</v>
      </c>
      <c r="CA10" s="35"/>
      <c r="CB10" s="193">
        <f t="shared" si="4"/>
        <v>2.707387992181727E-2</v>
      </c>
      <c r="CC10" s="193">
        <f t="shared" si="4"/>
        <v>2.6941812214881566E-2</v>
      </c>
      <c r="CD10" s="193">
        <f t="shared" si="4"/>
        <v>2.9995991789240992E-2</v>
      </c>
      <c r="CE10" s="193">
        <f t="shared" si="4"/>
        <v>3.0031701303275798E-2</v>
      </c>
      <c r="CF10" s="193">
        <f t="shared" si="4"/>
        <v>3.212493525060605E-2</v>
      </c>
    </row>
    <row r="11" spans="1:84" ht="15.6">
      <c r="A11" s="194" t="s">
        <v>140</v>
      </c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28"/>
      <c r="M11" s="153">
        <f t="shared" ref="M11:AR11" si="5">SUM(M9:M10)</f>
        <v>375</v>
      </c>
      <c r="N11" s="153">
        <f t="shared" si="5"/>
        <v>375</v>
      </c>
      <c r="O11" s="153">
        <f t="shared" si="5"/>
        <v>750</v>
      </c>
      <c r="P11" s="153">
        <f t="shared" si="5"/>
        <v>750</v>
      </c>
      <c r="Q11" s="153">
        <f t="shared" si="5"/>
        <v>750</v>
      </c>
      <c r="R11" s="153">
        <f t="shared" si="5"/>
        <v>1946.8856404837384</v>
      </c>
      <c r="S11" s="153">
        <f t="shared" si="5"/>
        <v>1946.8856404837384</v>
      </c>
      <c r="T11" s="153">
        <f t="shared" si="5"/>
        <v>1946.8856404837384</v>
      </c>
      <c r="U11" s="153">
        <f t="shared" si="5"/>
        <v>2321.8856404837384</v>
      </c>
      <c r="V11" s="153">
        <f t="shared" si="5"/>
        <v>2321.8856404837384</v>
      </c>
      <c r="W11" s="153">
        <f t="shared" si="5"/>
        <v>2321.8856404837384</v>
      </c>
      <c r="X11" s="153">
        <f t="shared" si="5"/>
        <v>2696.8856404837384</v>
      </c>
      <c r="Y11" s="153">
        <f t="shared" si="5"/>
        <v>2737.9799225079255</v>
      </c>
      <c r="Z11" s="153">
        <f t="shared" si="5"/>
        <v>2737.9799225079255</v>
      </c>
      <c r="AA11" s="153">
        <f t="shared" si="5"/>
        <v>3112.9799225079255</v>
      </c>
      <c r="AB11" s="153">
        <f t="shared" si="5"/>
        <v>3112.9799225079255</v>
      </c>
      <c r="AC11" s="153">
        <f t="shared" si="5"/>
        <v>3112.9799225079255</v>
      </c>
      <c r="AD11" s="153">
        <f t="shared" si="5"/>
        <v>3487.9799225079255</v>
      </c>
      <c r="AE11" s="153">
        <f t="shared" si="5"/>
        <v>3487.9799225079255</v>
      </c>
      <c r="AF11" s="153">
        <f t="shared" si="5"/>
        <v>3487.9799225079255</v>
      </c>
      <c r="AG11" s="153">
        <f t="shared" si="5"/>
        <v>4725.959845015851</v>
      </c>
      <c r="AH11" s="153">
        <f t="shared" si="5"/>
        <v>4725.959845015851</v>
      </c>
      <c r="AI11" s="153">
        <f t="shared" si="5"/>
        <v>4725.959845015851</v>
      </c>
      <c r="AJ11" s="153">
        <f t="shared" si="5"/>
        <v>5100.959845015851</v>
      </c>
      <c r="AK11" s="153">
        <f t="shared" si="5"/>
        <v>5187.257837266643</v>
      </c>
      <c r="AL11" s="153">
        <f t="shared" si="5"/>
        <v>5187.257837266643</v>
      </c>
      <c r="AM11" s="153">
        <f t="shared" si="5"/>
        <v>5187.257837266643</v>
      </c>
      <c r="AN11" s="153">
        <f t="shared" si="5"/>
        <v>5187.257837266643</v>
      </c>
      <c r="AO11" s="153">
        <f t="shared" si="5"/>
        <v>5187.257837266643</v>
      </c>
      <c r="AP11" s="153">
        <f t="shared" si="5"/>
        <v>5562.257837266643</v>
      </c>
      <c r="AQ11" s="153">
        <f t="shared" si="5"/>
        <v>5562.257837266643</v>
      </c>
      <c r="AR11" s="153">
        <f t="shared" si="5"/>
        <v>5562.257837266643</v>
      </c>
      <c r="AS11" s="153">
        <f t="shared" ref="AS11:BX11" si="6">SUM(AS9:AS10)</f>
        <v>5562.257837266643</v>
      </c>
      <c r="AT11" s="153">
        <f t="shared" si="6"/>
        <v>5562.257837266643</v>
      </c>
      <c r="AU11" s="153">
        <f t="shared" si="6"/>
        <v>5562.257837266643</v>
      </c>
      <c r="AV11" s="153">
        <f t="shared" si="6"/>
        <v>5937.257837266643</v>
      </c>
      <c r="AW11" s="153">
        <f t="shared" si="6"/>
        <v>6027.8707291299752</v>
      </c>
      <c r="AX11" s="153">
        <f t="shared" si="6"/>
        <v>6027.8707291299752</v>
      </c>
      <c r="AY11" s="153">
        <f t="shared" si="6"/>
        <v>6027.8707291299752</v>
      </c>
      <c r="AZ11" s="153">
        <f t="shared" si="6"/>
        <v>6402.8707291299752</v>
      </c>
      <c r="BA11" s="153">
        <f t="shared" si="6"/>
        <v>6402.8707291299752</v>
      </c>
      <c r="BB11" s="153">
        <f t="shared" si="6"/>
        <v>6402.8707291299752</v>
      </c>
      <c r="BC11" s="153">
        <f t="shared" si="6"/>
        <v>6402.8707291299752</v>
      </c>
      <c r="BD11" s="153">
        <f t="shared" si="6"/>
        <v>7729.3060936949632</v>
      </c>
      <c r="BE11" s="153">
        <f t="shared" si="6"/>
        <v>7729.3060936949632</v>
      </c>
      <c r="BF11" s="153">
        <f t="shared" si="6"/>
        <v>7729.3060936949632</v>
      </c>
      <c r="BG11" s="153">
        <f t="shared" si="6"/>
        <v>7729.3060936949632</v>
      </c>
      <c r="BH11" s="153">
        <f t="shared" si="6"/>
        <v>8104.3060936949632</v>
      </c>
      <c r="BI11" s="153">
        <f t="shared" si="6"/>
        <v>8247.0213983797112</v>
      </c>
      <c r="BJ11" s="153">
        <f t="shared" si="6"/>
        <v>8622.0213983797112</v>
      </c>
      <c r="BK11" s="153">
        <f t="shared" si="6"/>
        <v>8622.0213983797112</v>
      </c>
      <c r="BL11" s="153">
        <f t="shared" si="6"/>
        <v>8997.0213983797112</v>
      </c>
      <c r="BM11" s="153">
        <f t="shared" si="6"/>
        <v>8997.0213983797112</v>
      </c>
      <c r="BN11" s="153">
        <f t="shared" si="6"/>
        <v>9372.0213983797112</v>
      </c>
      <c r="BO11" s="153">
        <f t="shared" si="6"/>
        <v>9372.0213983797112</v>
      </c>
      <c r="BP11" s="153">
        <f t="shared" si="6"/>
        <v>10746.028531172948</v>
      </c>
      <c r="BQ11" s="153">
        <f t="shared" si="6"/>
        <v>10746.028531172948</v>
      </c>
      <c r="BR11" s="153">
        <f t="shared" si="6"/>
        <v>11121.028531172948</v>
      </c>
      <c r="BS11" s="153">
        <f t="shared" si="6"/>
        <v>11121.028531172948</v>
      </c>
      <c r="BT11" s="153">
        <f t="shared" si="6"/>
        <v>11496.028531172948</v>
      </c>
      <c r="BU11" s="35"/>
      <c r="BV11" s="154">
        <f t="shared" si="3"/>
        <v>18503.199483386172</v>
      </c>
      <c r="BW11" s="154">
        <f t="shared" si="3"/>
        <v>44557.678760126808</v>
      </c>
      <c r="BX11" s="154">
        <f t="shared" si="3"/>
        <v>65247.094047199731</v>
      </c>
      <c r="BY11" s="154">
        <f t="shared" si="3"/>
        <v>82716.625572384641</v>
      </c>
      <c r="BZ11" s="154">
        <f t="shared" si="3"/>
        <v>117459.29244452275</v>
      </c>
      <c r="CA11" s="35"/>
      <c r="CB11" s="196">
        <f t="shared" si="4"/>
        <v>8.7073879921817282E-2</v>
      </c>
      <c r="CC11" s="196">
        <f t="shared" si="4"/>
        <v>8.6941812214881578E-2</v>
      </c>
      <c r="CD11" s="196">
        <f t="shared" si="4"/>
        <v>8.9995991789241003E-2</v>
      </c>
      <c r="CE11" s="196">
        <f t="shared" si="4"/>
        <v>9.0031701303275799E-2</v>
      </c>
      <c r="CF11" s="196">
        <f t="shared" si="4"/>
        <v>9.2124935250606083E-2</v>
      </c>
    </row>
    <row r="12" spans="1:84" ht="15.6">
      <c r="A12" s="197"/>
      <c r="B12" s="197" t="s">
        <v>141</v>
      </c>
      <c r="C12" s="197"/>
      <c r="D12" s="198"/>
      <c r="E12" s="198"/>
      <c r="F12" s="198"/>
      <c r="G12" s="198"/>
      <c r="H12" s="198"/>
      <c r="I12" s="198"/>
      <c r="J12" s="198"/>
      <c r="K12" s="198"/>
      <c r="L12" s="198"/>
      <c r="M12" s="199">
        <f t="shared" ref="M12:AR12" si="7">M7-M11</f>
        <v>5875</v>
      </c>
      <c r="N12" s="199">
        <f t="shared" si="7"/>
        <v>5875</v>
      </c>
      <c r="O12" s="199">
        <f t="shared" si="7"/>
        <v>11750</v>
      </c>
      <c r="P12" s="199">
        <f t="shared" si="7"/>
        <v>11750</v>
      </c>
      <c r="Q12" s="199">
        <f t="shared" si="7"/>
        <v>11750</v>
      </c>
      <c r="R12" s="199">
        <f t="shared" si="7"/>
        <v>16803.114359516261</v>
      </c>
      <c r="S12" s="199">
        <f t="shared" si="7"/>
        <v>16803.114359516261</v>
      </c>
      <c r="T12" s="199">
        <f t="shared" si="7"/>
        <v>16803.114359516261</v>
      </c>
      <c r="U12" s="199">
        <f t="shared" si="7"/>
        <v>22678.114359516261</v>
      </c>
      <c r="V12" s="199">
        <f t="shared" si="7"/>
        <v>22678.114359516261</v>
      </c>
      <c r="W12" s="199">
        <f t="shared" si="7"/>
        <v>22678.114359516261</v>
      </c>
      <c r="X12" s="199">
        <f t="shared" si="7"/>
        <v>28553.114359516261</v>
      </c>
      <c r="Y12" s="199">
        <f t="shared" si="7"/>
        <v>28512.020077492074</v>
      </c>
      <c r="Z12" s="199">
        <f t="shared" si="7"/>
        <v>28512.020077492074</v>
      </c>
      <c r="AA12" s="199">
        <f t="shared" si="7"/>
        <v>34387.020077492074</v>
      </c>
      <c r="AB12" s="199">
        <f t="shared" si="7"/>
        <v>34387.020077492074</v>
      </c>
      <c r="AC12" s="199">
        <f t="shared" si="7"/>
        <v>34387.020077492074</v>
      </c>
      <c r="AD12" s="199">
        <f t="shared" si="7"/>
        <v>40262.020077492074</v>
      </c>
      <c r="AE12" s="199">
        <f t="shared" si="7"/>
        <v>40262.020077492074</v>
      </c>
      <c r="AF12" s="199">
        <f t="shared" si="7"/>
        <v>40262.020077492074</v>
      </c>
      <c r="AG12" s="199">
        <f t="shared" si="7"/>
        <v>45274.040154984148</v>
      </c>
      <c r="AH12" s="199">
        <f t="shared" si="7"/>
        <v>45274.040154984148</v>
      </c>
      <c r="AI12" s="199">
        <f t="shared" si="7"/>
        <v>45274.040154984148</v>
      </c>
      <c r="AJ12" s="199">
        <f t="shared" si="7"/>
        <v>51149.040154984148</v>
      </c>
      <c r="AK12" s="199">
        <f t="shared" si="7"/>
        <v>51062.742162733353</v>
      </c>
      <c r="AL12" s="199">
        <f t="shared" si="7"/>
        <v>51062.742162733353</v>
      </c>
      <c r="AM12" s="199">
        <f t="shared" si="7"/>
        <v>51062.742162733353</v>
      </c>
      <c r="AN12" s="199">
        <f t="shared" si="7"/>
        <v>51062.742162733353</v>
      </c>
      <c r="AO12" s="199">
        <f t="shared" si="7"/>
        <v>51062.742162733353</v>
      </c>
      <c r="AP12" s="199">
        <f t="shared" si="7"/>
        <v>56937.742162733353</v>
      </c>
      <c r="AQ12" s="199">
        <f t="shared" si="7"/>
        <v>56937.742162733353</v>
      </c>
      <c r="AR12" s="199">
        <f t="shared" si="7"/>
        <v>56937.742162733353</v>
      </c>
      <c r="AS12" s="199">
        <f t="shared" ref="AS12:BX12" si="8">AS7-AS11</f>
        <v>56937.742162733353</v>
      </c>
      <c r="AT12" s="199">
        <f t="shared" si="8"/>
        <v>56937.742162733353</v>
      </c>
      <c r="AU12" s="199">
        <f t="shared" si="8"/>
        <v>56937.742162733353</v>
      </c>
      <c r="AV12" s="199">
        <f t="shared" si="8"/>
        <v>62812.742162733353</v>
      </c>
      <c r="AW12" s="199">
        <f t="shared" si="8"/>
        <v>62722.129270870028</v>
      </c>
      <c r="AX12" s="199">
        <f t="shared" si="8"/>
        <v>62722.129270870028</v>
      </c>
      <c r="AY12" s="199">
        <f t="shared" si="8"/>
        <v>62722.129270870028</v>
      </c>
      <c r="AZ12" s="199">
        <f t="shared" si="8"/>
        <v>68597.12927087002</v>
      </c>
      <c r="BA12" s="199">
        <f t="shared" si="8"/>
        <v>68597.12927087002</v>
      </c>
      <c r="BB12" s="199">
        <f t="shared" si="8"/>
        <v>68597.12927087002</v>
      </c>
      <c r="BC12" s="199">
        <f t="shared" si="8"/>
        <v>68597.12927087002</v>
      </c>
      <c r="BD12" s="199">
        <f t="shared" si="8"/>
        <v>73520.693906305038</v>
      </c>
      <c r="BE12" s="199">
        <f t="shared" si="8"/>
        <v>73520.693906305038</v>
      </c>
      <c r="BF12" s="199">
        <f t="shared" si="8"/>
        <v>73520.693906305038</v>
      </c>
      <c r="BG12" s="199">
        <f t="shared" si="8"/>
        <v>73520.693906305038</v>
      </c>
      <c r="BH12" s="199">
        <f t="shared" si="8"/>
        <v>79395.693906305038</v>
      </c>
      <c r="BI12" s="199">
        <f t="shared" si="8"/>
        <v>79252.978601620285</v>
      </c>
      <c r="BJ12" s="199">
        <f t="shared" si="8"/>
        <v>85127.978601620285</v>
      </c>
      <c r="BK12" s="199">
        <f t="shared" si="8"/>
        <v>85127.978601620285</v>
      </c>
      <c r="BL12" s="199">
        <f t="shared" si="8"/>
        <v>91002.978601620285</v>
      </c>
      <c r="BM12" s="199">
        <f t="shared" si="8"/>
        <v>91002.978601620285</v>
      </c>
      <c r="BN12" s="199">
        <f t="shared" si="8"/>
        <v>96877.978601620285</v>
      </c>
      <c r="BO12" s="199">
        <f t="shared" si="8"/>
        <v>96877.978601620285</v>
      </c>
      <c r="BP12" s="199">
        <f t="shared" si="8"/>
        <v>101753.97146882705</v>
      </c>
      <c r="BQ12" s="199">
        <f t="shared" si="8"/>
        <v>101753.97146882705</v>
      </c>
      <c r="BR12" s="199">
        <f t="shared" si="8"/>
        <v>107628.97146882705</v>
      </c>
      <c r="BS12" s="199">
        <f t="shared" si="8"/>
        <v>107628.97146882705</v>
      </c>
      <c r="BT12" s="199">
        <f t="shared" si="8"/>
        <v>113503.97146882705</v>
      </c>
      <c r="BU12" s="35"/>
      <c r="BV12" s="200">
        <f>BV7-BV11</f>
        <v>193996.80051661382</v>
      </c>
      <c r="BW12" s="200">
        <f>BW7-BW11</f>
        <v>467942.32123987318</v>
      </c>
      <c r="BX12" s="200">
        <f>BX7-BX11</f>
        <v>659752.9059528003</v>
      </c>
      <c r="BY12" s="200">
        <f>BY7-BY11</f>
        <v>836033.37442761532</v>
      </c>
      <c r="BZ12" s="200">
        <f>BZ7-BZ11</f>
        <v>1157540.7075554773</v>
      </c>
      <c r="CA12" s="35"/>
      <c r="CB12" s="201">
        <f t="shared" si="4"/>
        <v>0.91292612007818263</v>
      </c>
      <c r="CC12" s="201">
        <f t="shared" si="4"/>
        <v>0.91305818778511838</v>
      </c>
      <c r="CD12" s="201">
        <f t="shared" si="4"/>
        <v>0.910004008210759</v>
      </c>
      <c r="CE12" s="201">
        <f t="shared" si="4"/>
        <v>0.90996829869672413</v>
      </c>
      <c r="CF12" s="201">
        <f t="shared" si="4"/>
        <v>0.90787506474939395</v>
      </c>
    </row>
    <row r="13" spans="1:84" ht="15.6">
      <c r="A13" s="188"/>
      <c r="B13" s="202" t="s">
        <v>142</v>
      </c>
      <c r="C13" s="202"/>
      <c r="D13" s="188"/>
      <c r="E13" s="188"/>
      <c r="F13" s="188"/>
      <c r="G13" s="188"/>
      <c r="H13" s="188"/>
      <c r="I13" s="188"/>
      <c r="J13" s="188"/>
      <c r="K13" s="188"/>
      <c r="M13" s="203">
        <f t="shared" ref="M13:AR13" si="9">M12/M$7</f>
        <v>0.94</v>
      </c>
      <c r="N13" s="203">
        <f t="shared" si="9"/>
        <v>0.94</v>
      </c>
      <c r="O13" s="203">
        <f t="shared" si="9"/>
        <v>0.94</v>
      </c>
      <c r="P13" s="203">
        <f t="shared" si="9"/>
        <v>0.94</v>
      </c>
      <c r="Q13" s="203">
        <f t="shared" si="9"/>
        <v>0.94</v>
      </c>
      <c r="R13" s="203">
        <f t="shared" si="9"/>
        <v>0.89616609917420065</v>
      </c>
      <c r="S13" s="203">
        <f t="shared" si="9"/>
        <v>0.89616609917420065</v>
      </c>
      <c r="T13" s="203">
        <f t="shared" si="9"/>
        <v>0.89616609917420065</v>
      </c>
      <c r="U13" s="203">
        <f t="shared" si="9"/>
        <v>0.90712457438065042</v>
      </c>
      <c r="V13" s="203">
        <f t="shared" si="9"/>
        <v>0.90712457438065042</v>
      </c>
      <c r="W13" s="203">
        <f t="shared" si="9"/>
        <v>0.90712457438065042</v>
      </c>
      <c r="X13" s="203">
        <f t="shared" si="9"/>
        <v>0.91369965950452037</v>
      </c>
      <c r="Y13" s="203">
        <f t="shared" si="9"/>
        <v>0.91238464247974638</v>
      </c>
      <c r="Z13" s="203">
        <f t="shared" si="9"/>
        <v>0.91238464247974638</v>
      </c>
      <c r="AA13" s="203">
        <f t="shared" si="9"/>
        <v>0.91698720206645534</v>
      </c>
      <c r="AB13" s="203">
        <f t="shared" si="9"/>
        <v>0.91698720206645534</v>
      </c>
      <c r="AC13" s="203">
        <f t="shared" si="9"/>
        <v>0.91698720206645534</v>
      </c>
      <c r="AD13" s="203">
        <f t="shared" si="9"/>
        <v>0.92027474462839032</v>
      </c>
      <c r="AE13" s="203">
        <f t="shared" si="9"/>
        <v>0.92027474462839032</v>
      </c>
      <c r="AF13" s="203">
        <f t="shared" si="9"/>
        <v>0.92027474462839032</v>
      </c>
      <c r="AG13" s="203">
        <f t="shared" si="9"/>
        <v>0.90548080309968293</v>
      </c>
      <c r="AH13" s="203">
        <f t="shared" si="9"/>
        <v>0.90548080309968293</v>
      </c>
      <c r="AI13" s="203">
        <f t="shared" si="9"/>
        <v>0.90548080309968293</v>
      </c>
      <c r="AJ13" s="203">
        <f t="shared" si="9"/>
        <v>0.90931626942194044</v>
      </c>
      <c r="AK13" s="203">
        <f t="shared" si="9"/>
        <v>0.90778208289303741</v>
      </c>
      <c r="AL13" s="203">
        <f t="shared" si="9"/>
        <v>0.90778208289303741</v>
      </c>
      <c r="AM13" s="203">
        <f t="shared" si="9"/>
        <v>0.90778208289303741</v>
      </c>
      <c r="AN13" s="203">
        <f t="shared" si="9"/>
        <v>0.90778208289303741</v>
      </c>
      <c r="AO13" s="203">
        <f t="shared" si="9"/>
        <v>0.90778208289303741</v>
      </c>
      <c r="AP13" s="203">
        <f t="shared" si="9"/>
        <v>0.91100387460373367</v>
      </c>
      <c r="AQ13" s="203">
        <f t="shared" si="9"/>
        <v>0.91100387460373367</v>
      </c>
      <c r="AR13" s="203">
        <f t="shared" si="9"/>
        <v>0.91100387460373367</v>
      </c>
      <c r="AS13" s="203">
        <f t="shared" ref="AS13:BX13" si="10">AS12/AS$7</f>
        <v>0.91100387460373367</v>
      </c>
      <c r="AT13" s="203">
        <f t="shared" si="10"/>
        <v>0.91100387460373367</v>
      </c>
      <c r="AU13" s="203">
        <f t="shared" si="10"/>
        <v>0.91100387460373367</v>
      </c>
      <c r="AV13" s="203">
        <f t="shared" si="10"/>
        <v>0.91363988600339419</v>
      </c>
      <c r="AW13" s="203">
        <f t="shared" si="10"/>
        <v>0.91232188030356409</v>
      </c>
      <c r="AX13" s="203">
        <f t="shared" si="10"/>
        <v>0.91232188030356409</v>
      </c>
      <c r="AY13" s="203">
        <f t="shared" si="10"/>
        <v>0.91232188030356409</v>
      </c>
      <c r="AZ13" s="203">
        <f t="shared" si="10"/>
        <v>0.91462839027826692</v>
      </c>
      <c r="BA13" s="203">
        <f t="shared" si="10"/>
        <v>0.91462839027826692</v>
      </c>
      <c r="BB13" s="203">
        <f t="shared" si="10"/>
        <v>0.91462839027826692</v>
      </c>
      <c r="BC13" s="203">
        <f t="shared" si="10"/>
        <v>0.91462839027826692</v>
      </c>
      <c r="BD13" s="203">
        <f t="shared" si="10"/>
        <v>0.90487007884683124</v>
      </c>
      <c r="BE13" s="203">
        <f t="shared" si="10"/>
        <v>0.90487007884683124</v>
      </c>
      <c r="BF13" s="203">
        <f t="shared" si="10"/>
        <v>0.90487007884683124</v>
      </c>
      <c r="BG13" s="203">
        <f t="shared" si="10"/>
        <v>0.90487007884683124</v>
      </c>
      <c r="BH13" s="203">
        <f t="shared" si="10"/>
        <v>0.90737935892920041</v>
      </c>
      <c r="BI13" s="203">
        <f t="shared" si="10"/>
        <v>0.90574832687566043</v>
      </c>
      <c r="BJ13" s="203">
        <f t="shared" si="10"/>
        <v>0.90803177175061633</v>
      </c>
      <c r="BK13" s="203">
        <f t="shared" si="10"/>
        <v>0.90803177175061633</v>
      </c>
      <c r="BL13" s="203">
        <f t="shared" si="10"/>
        <v>0.91002978601620288</v>
      </c>
      <c r="BM13" s="203">
        <f t="shared" si="10"/>
        <v>0.91002978601620288</v>
      </c>
      <c r="BN13" s="203">
        <f t="shared" si="10"/>
        <v>0.91179273977995567</v>
      </c>
      <c r="BO13" s="203">
        <f t="shared" si="10"/>
        <v>0.91179273977995567</v>
      </c>
      <c r="BP13" s="203">
        <f t="shared" si="10"/>
        <v>0.90447974638957374</v>
      </c>
      <c r="BQ13" s="203">
        <f t="shared" si="10"/>
        <v>0.90447974638957374</v>
      </c>
      <c r="BR13" s="203">
        <f t="shared" si="10"/>
        <v>0.90634923342170148</v>
      </c>
      <c r="BS13" s="203">
        <f t="shared" si="10"/>
        <v>0.90634923342170148</v>
      </c>
      <c r="BT13" s="203">
        <f t="shared" si="10"/>
        <v>0.90803177175061633</v>
      </c>
      <c r="BU13" s="35"/>
      <c r="BV13" s="203">
        <f>BV12/BV$7</f>
        <v>0.91292612007818263</v>
      </c>
      <c r="BW13" s="203">
        <f>BW12/BW$7</f>
        <v>0.91305818778511838</v>
      </c>
      <c r="BX13" s="203">
        <f>BX12/BX$7</f>
        <v>0.910004008210759</v>
      </c>
      <c r="BY13" s="203">
        <f>BY12/BY$7</f>
        <v>0.90996829869672413</v>
      </c>
      <c r="BZ13" s="203">
        <f>BZ12/BZ$7</f>
        <v>0.90787506474939395</v>
      </c>
      <c r="CA13" s="35"/>
      <c r="CB13" s="203"/>
      <c r="CC13" s="189"/>
      <c r="CD13" s="189"/>
      <c r="CE13" s="189"/>
      <c r="CF13" s="189"/>
    </row>
    <row r="14" spans="1:84" ht="15.6">
      <c r="A14" s="187" t="s">
        <v>143</v>
      </c>
      <c r="B14" s="187"/>
      <c r="C14" s="188"/>
      <c r="D14" s="188"/>
      <c r="E14" s="188"/>
      <c r="F14" s="188"/>
      <c r="G14" s="188"/>
      <c r="H14" s="188"/>
      <c r="I14" s="188"/>
      <c r="J14" s="188"/>
      <c r="K14" s="188"/>
      <c r="BU14" s="35"/>
      <c r="BV14" s="140"/>
      <c r="BW14" s="58"/>
      <c r="BX14" s="58"/>
      <c r="BY14" s="140"/>
      <c r="BZ14" s="58"/>
      <c r="CA14" s="35"/>
    </row>
    <row r="15" spans="1:84">
      <c r="A15" s="188" t="s">
        <v>137</v>
      </c>
      <c r="B15" s="188" t="s">
        <v>144</v>
      </c>
      <c r="C15" s="188"/>
      <c r="D15" s="188"/>
      <c r="E15" s="188"/>
      <c r="F15" s="188"/>
      <c r="G15" s="188"/>
      <c r="H15" s="188"/>
      <c r="I15" s="188"/>
      <c r="J15" s="188"/>
      <c r="K15" s="188"/>
      <c r="M15" s="135">
        <f>'Cost Buildup'!M17+'Cost Buildup'!M20+'Cost Buildup'!M23+'Cost Buildup'!M32</f>
        <v>4200</v>
      </c>
      <c r="N15" s="135">
        <f>'Cost Buildup'!N17+'Cost Buildup'!N20+'Cost Buildup'!N23+'Cost Buildup'!N32</f>
        <v>4200</v>
      </c>
      <c r="O15" s="135">
        <f>'Cost Buildup'!O17+'Cost Buildup'!O20+'Cost Buildup'!O23+'Cost Buildup'!O32</f>
        <v>6450</v>
      </c>
      <c r="P15" s="135">
        <f>'Cost Buildup'!P17+'Cost Buildup'!P20+'Cost Buildup'!P23+'Cost Buildup'!P32</f>
        <v>4200</v>
      </c>
      <c r="Q15" s="135">
        <f>'Cost Buildup'!Q17+'Cost Buildup'!Q20+'Cost Buildup'!Q23+'Cost Buildup'!Q32</f>
        <v>4200</v>
      </c>
      <c r="R15" s="135">
        <f>'Cost Buildup'!R17+'Cost Buildup'!R20+'Cost Buildup'!R23+'Cost Buildup'!R32</f>
        <v>6450</v>
      </c>
      <c r="S15" s="135">
        <f>'Cost Buildup'!S17+'Cost Buildup'!S20+'Cost Buildup'!S23+'Cost Buildup'!S32</f>
        <v>4200</v>
      </c>
      <c r="T15" s="135">
        <f>'Cost Buildup'!T17+'Cost Buildup'!T20+'Cost Buildup'!T23+'Cost Buildup'!T32</f>
        <v>4200</v>
      </c>
      <c r="U15" s="135">
        <f>'Cost Buildup'!U17+'Cost Buildup'!U20+'Cost Buildup'!U23+'Cost Buildup'!U32</f>
        <v>6450</v>
      </c>
      <c r="V15" s="135">
        <f>'Cost Buildup'!V17+'Cost Buildup'!V20+'Cost Buildup'!V23+'Cost Buildup'!V32</f>
        <v>4200</v>
      </c>
      <c r="W15" s="135">
        <f>'Cost Buildup'!W17+'Cost Buildup'!W20+'Cost Buildup'!W23+'Cost Buildup'!W32</f>
        <v>4200</v>
      </c>
      <c r="X15" s="135">
        <f>'Cost Buildup'!X17+'Cost Buildup'!X20+'Cost Buildup'!X23+'Cost Buildup'!X32</f>
        <v>6450</v>
      </c>
      <c r="Y15" s="135">
        <f>'Cost Buildup'!Y17+'Cost Buildup'!Y20+'Cost Buildup'!Y23+'Cost Buildup'!Y32</f>
        <v>4200</v>
      </c>
      <c r="Z15" s="135">
        <f>'Cost Buildup'!Z17+'Cost Buildup'!Z20+'Cost Buildup'!Z23+'Cost Buildup'!Z32</f>
        <v>4200</v>
      </c>
      <c r="AA15" s="135">
        <f>'Cost Buildup'!AA17+'Cost Buildup'!AA20+'Cost Buildup'!AA23+'Cost Buildup'!AA32</f>
        <v>6450</v>
      </c>
      <c r="AB15" s="135">
        <f>'Cost Buildup'!AB17+'Cost Buildup'!AB20+'Cost Buildup'!AB23+'Cost Buildup'!AB32</f>
        <v>4200</v>
      </c>
      <c r="AC15" s="135">
        <f>'Cost Buildup'!AC17+'Cost Buildup'!AC20+'Cost Buildup'!AC23+'Cost Buildup'!AC32</f>
        <v>4200</v>
      </c>
      <c r="AD15" s="135">
        <f>'Cost Buildup'!AD17+'Cost Buildup'!AD20+'Cost Buildup'!AD23+'Cost Buildup'!AD32</f>
        <v>6450</v>
      </c>
      <c r="AE15" s="135">
        <f>'Cost Buildup'!AE17+'Cost Buildup'!AE20+'Cost Buildup'!AE23+'Cost Buildup'!AE32</f>
        <v>4200</v>
      </c>
      <c r="AF15" s="135">
        <f>'Cost Buildup'!AF17+'Cost Buildup'!AF20+'Cost Buildup'!AF23+'Cost Buildup'!AF32</f>
        <v>4200</v>
      </c>
      <c r="AG15" s="135">
        <f>'Cost Buildup'!AG17+'Cost Buildup'!AG20+'Cost Buildup'!AG23+'Cost Buildup'!AG32</f>
        <v>6450</v>
      </c>
      <c r="AH15" s="135">
        <f>'Cost Buildup'!AH17+'Cost Buildup'!AH20+'Cost Buildup'!AH23+'Cost Buildup'!AH32</f>
        <v>4200</v>
      </c>
      <c r="AI15" s="135">
        <f>'Cost Buildup'!AI17+'Cost Buildup'!AI20+'Cost Buildup'!AI23+'Cost Buildup'!AI32</f>
        <v>4200</v>
      </c>
      <c r="AJ15" s="135">
        <f>'Cost Buildup'!AJ17+'Cost Buildup'!AJ20+'Cost Buildup'!AJ23+'Cost Buildup'!AJ32</f>
        <v>6450</v>
      </c>
      <c r="AK15" s="135">
        <f>'Cost Buildup'!AK17+'Cost Buildup'!AK20+'Cost Buildup'!AK23+'Cost Buildup'!AK32</f>
        <v>4440</v>
      </c>
      <c r="AL15" s="135">
        <f>'Cost Buildup'!AL17+'Cost Buildup'!AL20+'Cost Buildup'!AL23+'Cost Buildup'!AL32</f>
        <v>4440</v>
      </c>
      <c r="AM15" s="135">
        <f>'Cost Buildup'!AM17+'Cost Buildup'!AM20+'Cost Buildup'!AM23+'Cost Buildup'!AM32</f>
        <v>4440</v>
      </c>
      <c r="AN15" s="135">
        <f>'Cost Buildup'!AN17+'Cost Buildup'!AN20+'Cost Buildup'!AN23+'Cost Buildup'!AN32</f>
        <v>4440</v>
      </c>
      <c r="AO15" s="135">
        <f>'Cost Buildup'!AO17+'Cost Buildup'!AO20+'Cost Buildup'!AO23+'Cost Buildup'!AO32</f>
        <v>4440</v>
      </c>
      <c r="AP15" s="135">
        <f>'Cost Buildup'!AP17+'Cost Buildup'!AP20+'Cost Buildup'!AP23+'Cost Buildup'!AP32</f>
        <v>6690</v>
      </c>
      <c r="AQ15" s="135">
        <f>'Cost Buildup'!AQ17+'Cost Buildup'!AQ20+'Cost Buildup'!AQ23+'Cost Buildup'!AQ32</f>
        <v>4440</v>
      </c>
      <c r="AR15" s="135">
        <f>'Cost Buildup'!AR17+'Cost Buildup'!AR20+'Cost Buildup'!AR23+'Cost Buildup'!AR32</f>
        <v>4440</v>
      </c>
      <c r="AS15" s="135">
        <f>'Cost Buildup'!AS17+'Cost Buildup'!AS20+'Cost Buildup'!AS23+'Cost Buildup'!AS32</f>
        <v>4440</v>
      </c>
      <c r="AT15" s="135">
        <f>'Cost Buildup'!AT17+'Cost Buildup'!AT20+'Cost Buildup'!AT23+'Cost Buildup'!AT32</f>
        <v>4440</v>
      </c>
      <c r="AU15" s="135">
        <f>'Cost Buildup'!AU17+'Cost Buildup'!AU20+'Cost Buildup'!AU23+'Cost Buildup'!AU32</f>
        <v>4440</v>
      </c>
      <c r="AV15" s="135">
        <f>'Cost Buildup'!AV17+'Cost Buildup'!AV20+'Cost Buildup'!AV23+'Cost Buildup'!AV32</f>
        <v>6690</v>
      </c>
      <c r="AW15" s="135">
        <f>'Cost Buildup'!AW17+'Cost Buildup'!AW20+'Cost Buildup'!AW23+'Cost Buildup'!AW32</f>
        <v>4440</v>
      </c>
      <c r="AX15" s="135">
        <f>'Cost Buildup'!AX17+'Cost Buildup'!AX20+'Cost Buildup'!AX23+'Cost Buildup'!AX32</f>
        <v>4440</v>
      </c>
      <c r="AY15" s="135">
        <f>'Cost Buildup'!AY17+'Cost Buildup'!AY20+'Cost Buildup'!AY23+'Cost Buildup'!AY32</f>
        <v>4440</v>
      </c>
      <c r="AZ15" s="135">
        <f>'Cost Buildup'!AZ17+'Cost Buildup'!AZ20+'Cost Buildup'!AZ23+'Cost Buildup'!AZ32</f>
        <v>6690</v>
      </c>
      <c r="BA15" s="135">
        <f>'Cost Buildup'!BA17+'Cost Buildup'!BA20+'Cost Buildup'!BA23+'Cost Buildup'!BA32</f>
        <v>4440</v>
      </c>
      <c r="BB15" s="135">
        <f>'Cost Buildup'!BB17+'Cost Buildup'!BB20+'Cost Buildup'!BB23+'Cost Buildup'!BB32</f>
        <v>4440</v>
      </c>
      <c r="BC15" s="135">
        <f>'Cost Buildup'!BC17+'Cost Buildup'!BC20+'Cost Buildup'!BC23+'Cost Buildup'!BC32</f>
        <v>4440</v>
      </c>
      <c r="BD15" s="135">
        <f>'Cost Buildup'!BD17+'Cost Buildup'!BD20+'Cost Buildup'!BD23+'Cost Buildup'!BD32</f>
        <v>6690</v>
      </c>
      <c r="BE15" s="135">
        <f>'Cost Buildup'!BE17+'Cost Buildup'!BE20+'Cost Buildup'!BE23+'Cost Buildup'!BE32</f>
        <v>4440</v>
      </c>
      <c r="BF15" s="135">
        <f>'Cost Buildup'!BF17+'Cost Buildup'!BF20+'Cost Buildup'!BF23+'Cost Buildup'!BF32</f>
        <v>4440</v>
      </c>
      <c r="BG15" s="135">
        <f>'Cost Buildup'!BG17+'Cost Buildup'!BG20+'Cost Buildup'!BG23+'Cost Buildup'!BG32</f>
        <v>4440</v>
      </c>
      <c r="BH15" s="135">
        <f>'Cost Buildup'!BH17+'Cost Buildup'!BH20+'Cost Buildup'!BH23+'Cost Buildup'!BH32</f>
        <v>6690</v>
      </c>
      <c r="BI15" s="135">
        <f>'Cost Buildup'!BI17+'Cost Buildup'!BI20+'Cost Buildup'!BI23+'Cost Buildup'!BI32</f>
        <v>4440</v>
      </c>
      <c r="BJ15" s="135">
        <f>'Cost Buildup'!BJ17+'Cost Buildup'!BJ20+'Cost Buildup'!BJ23+'Cost Buildup'!BJ32</f>
        <v>6690</v>
      </c>
      <c r="BK15" s="135">
        <f>'Cost Buildup'!BK17+'Cost Buildup'!BK20+'Cost Buildup'!BK23+'Cost Buildup'!BK32</f>
        <v>4440</v>
      </c>
      <c r="BL15" s="135">
        <f>'Cost Buildup'!BL17+'Cost Buildup'!BL20+'Cost Buildup'!BL23+'Cost Buildup'!BL32</f>
        <v>6690</v>
      </c>
      <c r="BM15" s="135">
        <f>'Cost Buildup'!BM17+'Cost Buildup'!BM20+'Cost Buildup'!BM23+'Cost Buildup'!BM32</f>
        <v>4440</v>
      </c>
      <c r="BN15" s="135">
        <f>'Cost Buildup'!BN17+'Cost Buildup'!BN20+'Cost Buildup'!BN23+'Cost Buildup'!BN32</f>
        <v>6690</v>
      </c>
      <c r="BO15" s="135">
        <f>'Cost Buildup'!BO17+'Cost Buildup'!BO20+'Cost Buildup'!BO23+'Cost Buildup'!BO32</f>
        <v>4440</v>
      </c>
      <c r="BP15" s="135">
        <f>'Cost Buildup'!BP17+'Cost Buildup'!BP20+'Cost Buildup'!BP23+'Cost Buildup'!BP32</f>
        <v>6690</v>
      </c>
      <c r="BQ15" s="135">
        <f>'Cost Buildup'!BQ17+'Cost Buildup'!BQ20+'Cost Buildup'!BQ23+'Cost Buildup'!BQ32</f>
        <v>4440</v>
      </c>
      <c r="BR15" s="135">
        <f>'Cost Buildup'!BR17+'Cost Buildup'!BR20+'Cost Buildup'!BR23+'Cost Buildup'!BR32</f>
        <v>6690</v>
      </c>
      <c r="BS15" s="135">
        <f>'Cost Buildup'!BS17+'Cost Buildup'!BS20+'Cost Buildup'!BS23+'Cost Buildup'!BS32</f>
        <v>4440</v>
      </c>
      <c r="BT15" s="135">
        <f>'Cost Buildup'!BT17+'Cost Buildup'!BT20+'Cost Buildup'!BT23+'Cost Buildup'!BT32</f>
        <v>6690</v>
      </c>
      <c r="BU15" s="35"/>
      <c r="BV15" s="145">
        <f t="shared" ref="BV15:BZ23" si="11">SUMIF($M$3:$BT$3,BV$3,$M15:$BT15)</f>
        <v>59400</v>
      </c>
      <c r="BW15" s="145">
        <f t="shared" si="11"/>
        <v>59400</v>
      </c>
      <c r="BX15" s="145">
        <f t="shared" si="11"/>
        <v>57780</v>
      </c>
      <c r="BY15" s="145">
        <f t="shared" si="11"/>
        <v>60030</v>
      </c>
      <c r="BZ15" s="145">
        <f t="shared" si="11"/>
        <v>66780</v>
      </c>
      <c r="CA15" s="35"/>
      <c r="CB15" s="189">
        <f t="shared" ref="CB15:CB23" si="12">BV15/BV$7</f>
        <v>0.27952941176470586</v>
      </c>
      <c r="CC15" s="189">
        <f t="shared" ref="CC15:CC23" si="13">BW15/BW$7</f>
        <v>0.11590243902439025</v>
      </c>
      <c r="CD15" s="189">
        <f t="shared" ref="CD15:CD23" si="14">BX15/BX$7</f>
        <v>7.9696551724137935E-2</v>
      </c>
      <c r="CE15" s="189">
        <f t="shared" ref="CE15:CE23" si="15">BY15/BY$7</f>
        <v>6.5338775510204075E-2</v>
      </c>
      <c r="CF15" s="189">
        <f t="shared" ref="CF15:CF23" si="16">BZ15/BZ$7</f>
        <v>5.2376470588235295E-2</v>
      </c>
    </row>
    <row r="16" spans="1:84">
      <c r="A16" s="188" t="s">
        <v>137</v>
      </c>
      <c r="B16" s="190" t="s">
        <v>78</v>
      </c>
      <c r="C16" s="190"/>
      <c r="D16" s="188"/>
      <c r="E16" s="188"/>
      <c r="F16" s="188"/>
      <c r="G16" s="188"/>
      <c r="H16" s="188"/>
      <c r="I16" s="188"/>
      <c r="J16" s="188"/>
      <c r="K16" s="188"/>
      <c r="M16" s="204">
        <f>SUM('Cost Buildup'!M43:M45)</f>
        <v>4414.7000117412281</v>
      </c>
      <c r="N16" s="204">
        <f>SUM('Cost Buildup'!N43:N45)</f>
        <v>4425.2000863886633</v>
      </c>
      <c r="O16" s="204">
        <f>SUM('Cost Buildup'!O43:O45)</f>
        <v>4435.7001610360985</v>
      </c>
      <c r="P16" s="204">
        <f>SUM('Cost Buildup'!P43:P45)</f>
        <v>4446.2002356835328</v>
      </c>
      <c r="Q16" s="204">
        <f>SUM('Cost Buildup'!Q43:Q45)</f>
        <v>4456.700310330968</v>
      </c>
      <c r="R16" s="204">
        <f>SUM('Cost Buildup'!R43:R45)</f>
        <v>4612.1335564532001</v>
      </c>
      <c r="S16" s="204">
        <f>SUM('Cost Buildup'!S43:S45)</f>
        <v>4769.1821986750374</v>
      </c>
      <c r="T16" s="204">
        <f>SUM('Cost Buildup'!T43:T45)</f>
        <v>4781.2976694220779</v>
      </c>
      <c r="U16" s="204">
        <f>SUM('Cost Buildup'!U43:U45)</f>
        <v>4793.4131401691184</v>
      </c>
      <c r="V16" s="204">
        <f>SUM('Cost Buildup'!V43:V45)</f>
        <v>4805.5286109161589</v>
      </c>
      <c r="W16" s="204">
        <f>SUM('Cost Buildup'!W43:W45)</f>
        <v>4817.6440816631984</v>
      </c>
      <c r="X16" s="204">
        <f>SUM('Cost Buildup'!X43:X45)</f>
        <v>4829.7595524102389</v>
      </c>
      <c r="Y16" s="204">
        <f>SUM('Cost Buildup'!Y43:Y45)</f>
        <v>5143.0491388041119</v>
      </c>
      <c r="Z16" s="204">
        <f>SUM('Cost Buildup'!Z43:Z45)</f>
        <v>5156.7800056507567</v>
      </c>
      <c r="AA16" s="204">
        <f>SUM('Cost Buildup'!AA43:AA45)</f>
        <v>5170.5108724974034</v>
      </c>
      <c r="AB16" s="204">
        <f>SUM('Cost Buildup'!AB43:AB45)</f>
        <v>5184.2417393440483</v>
      </c>
      <c r="AC16" s="204">
        <f>SUM('Cost Buildup'!AC43:AC45)</f>
        <v>5197.972606190694</v>
      </c>
      <c r="AD16" s="204">
        <f>SUM('Cost Buildup'!AD43:AD45)</f>
        <v>5211.7034730373398</v>
      </c>
      <c r="AE16" s="204">
        <f>SUM('Cost Buildup'!AE43:AE45)</f>
        <v>5225.4343398839856</v>
      </c>
      <c r="AF16" s="204">
        <f>SUM('Cost Buildup'!AF43:AF45)</f>
        <v>5239.1652067306313</v>
      </c>
      <c r="AG16" s="204">
        <f>SUM('Cost Buildup'!AG43:AG45)</f>
        <v>5409.9447157991144</v>
      </c>
      <c r="AH16" s="204">
        <f>SUM('Cost Buildup'!AH43:AH45)</f>
        <v>5424.4832806955619</v>
      </c>
      <c r="AI16" s="204">
        <f>SUM('Cost Buildup'!AI43:AI45)</f>
        <v>5439.0218455920103</v>
      </c>
      <c r="AJ16" s="204">
        <f>SUM('Cost Buildup'!AJ43:AJ45)</f>
        <v>5453.5604104884587</v>
      </c>
      <c r="AK16" s="204">
        <f>SUM('Cost Buildup'!AK43:AK45)</f>
        <v>5468.0989753849071</v>
      </c>
      <c r="AL16" s="204">
        <f>SUM('Cost Buildup'!AL43:AL45)</f>
        <v>5482.6375402813555</v>
      </c>
      <c r="AM16" s="204">
        <f>SUM('Cost Buildup'!AM43:AM45)</f>
        <v>5497.176105177803</v>
      </c>
      <c r="AN16" s="204">
        <f>SUM('Cost Buildup'!AN43:AN45)</f>
        <v>5511.7146700742524</v>
      </c>
      <c r="AO16" s="204">
        <f>SUM('Cost Buildup'!AO43:AO45)</f>
        <v>5526.2532349706999</v>
      </c>
      <c r="AP16" s="204">
        <f>SUM('Cost Buildup'!AP43:AP45)</f>
        <v>5540.7917998671483</v>
      </c>
      <c r="AQ16" s="204">
        <f>SUM('Cost Buildup'!AQ43:AQ45)</f>
        <v>5555.3303647635967</v>
      </c>
      <c r="AR16" s="204">
        <f>SUM('Cost Buildup'!AR43:AR45)</f>
        <v>5569.8689296600451</v>
      </c>
      <c r="AS16" s="204">
        <f>SUM('Cost Buildup'!AS43:AS45)</f>
        <v>5584.4074945564935</v>
      </c>
      <c r="AT16" s="204">
        <f>SUM('Cost Buildup'!AT43:AT45)</f>
        <v>5598.946059452941</v>
      </c>
      <c r="AU16" s="204">
        <f>SUM('Cost Buildup'!AU43:AU45)</f>
        <v>5613.4846243493903</v>
      </c>
      <c r="AV16" s="204">
        <f>SUM('Cost Buildup'!AV43:AV45)</f>
        <v>5797.1873022147156</v>
      </c>
      <c r="AW16" s="204">
        <f>SUM('Cost Buildup'!AW43:AW45)</f>
        <v>5812.5335651609666</v>
      </c>
      <c r="AX16" s="204">
        <f>SUM('Cost Buildup'!AX43:AX45)</f>
        <v>5827.8798281072177</v>
      </c>
      <c r="AY16" s="204">
        <f>SUM('Cost Buildup'!AY43:AY45)</f>
        <v>5843.2260910534687</v>
      </c>
      <c r="AZ16" s="204">
        <f>SUM('Cost Buildup'!AZ43:AZ45)</f>
        <v>5858.5723539997198</v>
      </c>
      <c r="BA16" s="204">
        <f>SUM('Cost Buildup'!BA43:BA45)</f>
        <v>5873.9186169459699</v>
      </c>
      <c r="BB16" s="204">
        <f>SUM('Cost Buildup'!BB43:BB45)</f>
        <v>5889.2648798922219</v>
      </c>
      <c r="BC16" s="204">
        <f>SUM('Cost Buildup'!BC43:BC45)</f>
        <v>5904.611142838472</v>
      </c>
      <c r="BD16" s="204">
        <f>SUM('Cost Buildup'!BD43:BD45)</f>
        <v>6095.5831031520229</v>
      </c>
      <c r="BE16" s="204">
        <f>SUM('Cost Buildup'!BE43:BE45)</f>
        <v>6111.7370641480757</v>
      </c>
      <c r="BF16" s="204">
        <f>SUM('Cost Buildup'!BF43:BF45)</f>
        <v>6127.8910251441293</v>
      </c>
      <c r="BG16" s="204">
        <f>SUM('Cost Buildup'!BG43:BG45)</f>
        <v>6144.044986140183</v>
      </c>
      <c r="BH16" s="204">
        <f>SUM('Cost Buildup'!BH43:BH45)</f>
        <v>6160.1989471362367</v>
      </c>
      <c r="BI16" s="204">
        <f>SUM('Cost Buildup'!BI43:BI45)</f>
        <v>6176.3529081322904</v>
      </c>
      <c r="BJ16" s="204">
        <f>SUM('Cost Buildup'!BJ43:BJ45)</f>
        <v>6192.5068691283441</v>
      </c>
      <c r="BK16" s="204">
        <f>SUM('Cost Buildup'!BK43:BK45)</f>
        <v>6208.6608301243978</v>
      </c>
      <c r="BL16" s="204">
        <f>SUM('Cost Buildup'!BL43:BL45)</f>
        <v>6224.8147911204514</v>
      </c>
      <c r="BM16" s="204">
        <f>SUM('Cost Buildup'!BM43:BM45)</f>
        <v>6240.9687521165051</v>
      </c>
      <c r="BN16" s="204">
        <f>SUM('Cost Buildup'!BN43:BN45)</f>
        <v>6257.1227131125588</v>
      </c>
      <c r="BO16" s="204">
        <f>SUM('Cost Buildup'!BO43:BO45)</f>
        <v>6273.2766741086125</v>
      </c>
      <c r="BP16" s="204">
        <f>SUM('Cost Buildup'!BP43:BP45)</f>
        <v>6474.7487090695968</v>
      </c>
      <c r="BQ16" s="204">
        <f>SUM('Cost Buildup'!BQ43:BQ45)</f>
        <v>6491.7103681154531</v>
      </c>
      <c r="BR16" s="204">
        <f>SUM('Cost Buildup'!BR43:BR45)</f>
        <v>7817.2063176130659</v>
      </c>
      <c r="BS16" s="204">
        <f>SUM('Cost Buildup'!BS43:BS45)</f>
        <v>7839.8218630075417</v>
      </c>
      <c r="BT16" s="204">
        <f>SUM('Cost Buildup'!BT43:BT45)</f>
        <v>7862.4374084020164</v>
      </c>
      <c r="BU16" s="35"/>
      <c r="BV16" s="145">
        <f t="shared" si="11"/>
        <v>55587.459614889522</v>
      </c>
      <c r="BW16" s="145">
        <f t="shared" si="11"/>
        <v>63255.867634714115</v>
      </c>
      <c r="BX16" s="145">
        <f t="shared" si="11"/>
        <v>66745.89710075334</v>
      </c>
      <c r="BY16" s="145">
        <f t="shared" si="11"/>
        <v>71649.461603718664</v>
      </c>
      <c r="BZ16" s="145">
        <f t="shared" si="11"/>
        <v>80059.628204050823</v>
      </c>
      <c r="CA16" s="35"/>
      <c r="CB16" s="189">
        <f t="shared" si="12"/>
        <v>0.26158804524653895</v>
      </c>
      <c r="CC16" s="189">
        <f t="shared" si="13"/>
        <v>0.12342608318968608</v>
      </c>
      <c r="CD16" s="189">
        <f t="shared" si="14"/>
        <v>9.206330634586668E-2</v>
      </c>
      <c r="CE16" s="189">
        <f t="shared" si="15"/>
        <v>7.7985808548265215E-2</v>
      </c>
      <c r="CF16" s="189">
        <f t="shared" si="16"/>
        <v>6.2791865258079074E-2</v>
      </c>
    </row>
    <row r="17" spans="1:84">
      <c r="A17" s="188" t="s">
        <v>137</v>
      </c>
      <c r="B17" s="190" t="s">
        <v>145</v>
      </c>
      <c r="C17" s="188"/>
      <c r="D17" s="188"/>
      <c r="E17" s="188"/>
      <c r="F17" s="188"/>
      <c r="G17" s="188"/>
      <c r="H17" s="188"/>
      <c r="I17" s="188"/>
      <c r="J17" s="188"/>
      <c r="K17" s="188"/>
      <c r="M17" s="204">
        <f>'Cost Buildup'!M55</f>
        <v>1585.0651637900701</v>
      </c>
      <c r="N17" s="204">
        <f>'Cost Buildup'!N55</f>
        <v>1616.7664670658714</v>
      </c>
      <c r="O17" s="204">
        <f>'Cost Buildup'!O55</f>
        <v>1649.1017964071889</v>
      </c>
      <c r="P17" s="204">
        <f>'Cost Buildup'!P55</f>
        <v>1682.0838323353328</v>
      </c>
      <c r="Q17" s="204">
        <f>'Cost Buildup'!Q55</f>
        <v>1715.7255089820394</v>
      </c>
      <c r="R17" s="204">
        <f>'Cost Buildup'!R55</f>
        <v>1750.0400191616802</v>
      </c>
      <c r="S17" s="204">
        <f>'Cost Buildup'!S55</f>
        <v>1785.0408195449138</v>
      </c>
      <c r="T17" s="204">
        <f>'Cost Buildup'!T55</f>
        <v>1820.7416359358122</v>
      </c>
      <c r="U17" s="204">
        <f>'Cost Buildup'!U55</f>
        <v>1857.1564686545285</v>
      </c>
      <c r="V17" s="204">
        <f>'Cost Buildup'!V55</f>
        <v>1894.2995980276191</v>
      </c>
      <c r="W17" s="204">
        <f>'Cost Buildup'!W55</f>
        <v>1932.1855899881716</v>
      </c>
      <c r="X17" s="204">
        <f>'Cost Buildup'!X55</f>
        <v>1970.829301787935</v>
      </c>
      <c r="Y17" s="204">
        <f>'Cost Buildup'!Y55</f>
        <v>2010.2458878236937</v>
      </c>
      <c r="Z17" s="204">
        <f>'Cost Buildup'!Z55</f>
        <v>2050.4508055801675</v>
      </c>
      <c r="AA17" s="204">
        <f>'Cost Buildup'!AA55</f>
        <v>2091.4598216917711</v>
      </c>
      <c r="AB17" s="204">
        <f>'Cost Buildup'!AB55</f>
        <v>2133.2890181256066</v>
      </c>
      <c r="AC17" s="204">
        <f>'Cost Buildup'!AC55</f>
        <v>2175.9547984881187</v>
      </c>
      <c r="AD17" s="204">
        <f>'Cost Buildup'!AD55</f>
        <v>2219.4738944578812</v>
      </c>
      <c r="AE17" s="204">
        <f>'Cost Buildup'!AE55</f>
        <v>2263.8633723470389</v>
      </c>
      <c r="AF17" s="204">
        <f>'Cost Buildup'!AF55</f>
        <v>2309.1406397939795</v>
      </c>
      <c r="AG17" s="204">
        <f>'Cost Buildup'!AG55</f>
        <v>2355.3234525898592</v>
      </c>
      <c r="AH17" s="204">
        <f>'Cost Buildup'!AH55</f>
        <v>2402.4299216416566</v>
      </c>
      <c r="AI17" s="204">
        <f>'Cost Buildup'!AI55</f>
        <v>2450.47852007449</v>
      </c>
      <c r="AJ17" s="204">
        <f>'Cost Buildup'!AJ55</f>
        <v>2499.4880904759798</v>
      </c>
      <c r="AK17" s="204">
        <f>'Cost Buildup'!AK55</f>
        <v>2549.4778522854995</v>
      </c>
      <c r="AL17" s="204">
        <f>'Cost Buildup'!AL55</f>
        <v>2600.4674093312096</v>
      </c>
      <c r="AM17" s="204">
        <f>'Cost Buildup'!AM55</f>
        <v>2652.4767575178339</v>
      </c>
      <c r="AN17" s="204">
        <f>'Cost Buildup'!AN55</f>
        <v>2705.5262926681908</v>
      </c>
      <c r="AO17" s="204">
        <f>'Cost Buildup'!AO55</f>
        <v>2759.6368185215547</v>
      </c>
      <c r="AP17" s="204">
        <f>'Cost Buildup'!AP55</f>
        <v>2814.8295548919859</v>
      </c>
      <c r="AQ17" s="204">
        <f>'Cost Buildup'!AQ55</f>
        <v>2871.1261459898255</v>
      </c>
      <c r="AR17" s="204">
        <f>'Cost Buildup'!AR55</f>
        <v>2928.5486689096219</v>
      </c>
      <c r="AS17" s="204">
        <f>'Cost Buildup'!AS55</f>
        <v>2987.1196422878143</v>
      </c>
      <c r="AT17" s="204">
        <f>'Cost Buildup'!AT55</f>
        <v>3046.8620351335708</v>
      </c>
      <c r="AU17" s="204">
        <f>'Cost Buildup'!AU55</f>
        <v>3107.799275836242</v>
      </c>
      <c r="AV17" s="204">
        <f>'Cost Buildup'!AV55</f>
        <v>3169.9552613529668</v>
      </c>
      <c r="AW17" s="204">
        <f>'Cost Buildup'!AW55</f>
        <v>3233.3543665800262</v>
      </c>
      <c r="AX17" s="204">
        <f>'Cost Buildup'!AX55</f>
        <v>3298.0214539116268</v>
      </c>
      <c r="AY17" s="204">
        <f>'Cost Buildup'!AY55</f>
        <v>3363.9818829898595</v>
      </c>
      <c r="AZ17" s="204">
        <f>'Cost Buildup'!AZ55</f>
        <v>3431.2615206496566</v>
      </c>
      <c r="BA17" s="204">
        <f>'Cost Buildup'!BA55</f>
        <v>3499.8867510626496</v>
      </c>
      <c r="BB17" s="204">
        <f>'Cost Buildup'!BB55</f>
        <v>3569.8844860839026</v>
      </c>
      <c r="BC17" s="204">
        <f>'Cost Buildup'!BC55</f>
        <v>3641.2821758055807</v>
      </c>
      <c r="BD17" s="204">
        <f>'Cost Buildup'!BD55</f>
        <v>3714.1078193216922</v>
      </c>
      <c r="BE17" s="204">
        <f>'Cost Buildup'!BE55</f>
        <v>3788.3899757081263</v>
      </c>
      <c r="BF17" s="204">
        <f>'Cost Buildup'!BF55</f>
        <v>3864.1577752222888</v>
      </c>
      <c r="BG17" s="204">
        <f>'Cost Buildup'!BG55</f>
        <v>3941.4409307267347</v>
      </c>
      <c r="BH17" s="204">
        <f>'Cost Buildup'!BH55</f>
        <v>4020.2697493412693</v>
      </c>
      <c r="BI17" s="204">
        <f>'Cost Buildup'!BI55</f>
        <v>4100.6751443280946</v>
      </c>
      <c r="BJ17" s="204">
        <f>'Cost Buildup'!BJ55</f>
        <v>4182.6886472146562</v>
      </c>
      <c r="BK17" s="204">
        <f>'Cost Buildup'!BK55</f>
        <v>4266.3424201589496</v>
      </c>
      <c r="BL17" s="204">
        <f>'Cost Buildup'!BL55</f>
        <v>4351.6692685621283</v>
      </c>
      <c r="BM17" s="204">
        <f>'Cost Buildup'!BM55</f>
        <v>4438.702653933371</v>
      </c>
      <c r="BN17" s="204">
        <f>'Cost Buildup'!BN55</f>
        <v>4527.4767070120388</v>
      </c>
      <c r="BO17" s="204">
        <f>'Cost Buildup'!BO55</f>
        <v>4618.0262411522799</v>
      </c>
      <c r="BP17" s="204">
        <f>'Cost Buildup'!BP55</f>
        <v>4710.3867659753259</v>
      </c>
      <c r="BQ17" s="204">
        <f>'Cost Buildup'!BQ55</f>
        <v>4804.5945012948323</v>
      </c>
      <c r="BR17" s="204">
        <f>'Cost Buildup'!BR55</f>
        <v>4900.6863913207289</v>
      </c>
      <c r="BS17" s="204">
        <f>'Cost Buildup'!BS55</f>
        <v>4998.7001191471436</v>
      </c>
      <c r="BT17" s="204">
        <f>'Cost Buildup'!BT55</f>
        <v>5098.6741215300863</v>
      </c>
      <c r="BU17" s="35"/>
      <c r="BV17" s="145">
        <f t="shared" si="11"/>
        <v>21259.036201681163</v>
      </c>
      <c r="BW17" s="145">
        <f t="shared" si="11"/>
        <v>26961.598223090241</v>
      </c>
      <c r="BX17" s="145">
        <f t="shared" si="11"/>
        <v>34193.825714726314</v>
      </c>
      <c r="BY17" s="145">
        <f t="shared" si="11"/>
        <v>43366.038887403411</v>
      </c>
      <c r="BZ17" s="145">
        <f t="shared" si="11"/>
        <v>54998.622981629625</v>
      </c>
      <c r="CA17" s="35"/>
      <c r="CB17" s="189">
        <f t="shared" si="12"/>
        <v>0.10004252330202901</v>
      </c>
      <c r="CC17" s="189">
        <f t="shared" si="13"/>
        <v>5.2607996532859004E-2</v>
      </c>
      <c r="CD17" s="189">
        <f t="shared" si="14"/>
        <v>4.716389753755354E-2</v>
      </c>
      <c r="CE17" s="189">
        <f t="shared" si="15"/>
        <v>4.7201130761799631E-2</v>
      </c>
      <c r="CF17" s="189">
        <f t="shared" si="16"/>
        <v>4.3136174887552649E-2</v>
      </c>
    </row>
    <row r="18" spans="1:84">
      <c r="A18" s="188" t="s">
        <v>137</v>
      </c>
      <c r="B18" s="190" t="s">
        <v>128</v>
      </c>
      <c r="C18" s="190"/>
      <c r="D18" s="188"/>
      <c r="E18" s="188"/>
      <c r="F18" s="188"/>
      <c r="G18" s="188"/>
      <c r="H18" s="188"/>
      <c r="I18" s="188"/>
      <c r="J18" s="188"/>
      <c r="K18" s="188"/>
      <c r="M18" s="205">
        <f t="shared" ref="M18:AR18" si="17">SUM(M19:M22)</f>
        <v>22206.398966772358</v>
      </c>
      <c r="N18" s="205">
        <f t="shared" si="17"/>
        <v>22206.398966772358</v>
      </c>
      <c r="O18" s="205">
        <f t="shared" si="17"/>
        <v>22206.398966772358</v>
      </c>
      <c r="P18" s="205">
        <f t="shared" si="17"/>
        <v>22206.398966772358</v>
      </c>
      <c r="Q18" s="205">
        <f t="shared" si="17"/>
        <v>22206.398966772358</v>
      </c>
      <c r="R18" s="205">
        <f t="shared" si="17"/>
        <v>22206.398966772358</v>
      </c>
      <c r="S18" s="205">
        <f t="shared" si="17"/>
        <v>22910.872372901278</v>
      </c>
      <c r="T18" s="205">
        <f t="shared" si="17"/>
        <v>22910.872372901278</v>
      </c>
      <c r="U18" s="205">
        <f t="shared" si="17"/>
        <v>22910.872372901278</v>
      </c>
      <c r="V18" s="205">
        <f t="shared" si="17"/>
        <v>22910.872372901278</v>
      </c>
      <c r="W18" s="205">
        <f t="shared" si="17"/>
        <v>22910.872372901278</v>
      </c>
      <c r="X18" s="205">
        <f t="shared" si="17"/>
        <v>22910.872372901278</v>
      </c>
      <c r="Y18" s="205">
        <f t="shared" si="17"/>
        <v>25323.948573441368</v>
      </c>
      <c r="Z18" s="205">
        <f t="shared" si="17"/>
        <v>25323.948573441368</v>
      </c>
      <c r="AA18" s="205">
        <f t="shared" si="17"/>
        <v>25323.948573441368</v>
      </c>
      <c r="AB18" s="205">
        <f t="shared" si="17"/>
        <v>25323.948573441368</v>
      </c>
      <c r="AC18" s="205">
        <f t="shared" si="17"/>
        <v>25323.948573441368</v>
      </c>
      <c r="AD18" s="205">
        <f t="shared" si="17"/>
        <v>25323.948573441368</v>
      </c>
      <c r="AE18" s="205">
        <f t="shared" si="17"/>
        <v>25323.948573441368</v>
      </c>
      <c r="AF18" s="205">
        <f t="shared" si="17"/>
        <v>25323.948573441368</v>
      </c>
      <c r="AG18" s="205">
        <f t="shared" si="17"/>
        <v>25323.948573441368</v>
      </c>
      <c r="AH18" s="205">
        <f t="shared" si="17"/>
        <v>25323.948573441368</v>
      </c>
      <c r="AI18" s="205">
        <f t="shared" si="17"/>
        <v>25323.948573441368</v>
      </c>
      <c r="AJ18" s="205">
        <f t="shared" si="17"/>
        <v>25323.948573441368</v>
      </c>
      <c r="AK18" s="205">
        <f t="shared" si="17"/>
        <v>27131.725490196099</v>
      </c>
      <c r="AL18" s="205">
        <f t="shared" si="17"/>
        <v>27131.725490196099</v>
      </c>
      <c r="AM18" s="205">
        <f t="shared" si="17"/>
        <v>27131.725490196099</v>
      </c>
      <c r="AN18" s="205">
        <f t="shared" si="17"/>
        <v>27131.725490196099</v>
      </c>
      <c r="AO18" s="205">
        <f t="shared" si="17"/>
        <v>27131.725490196099</v>
      </c>
      <c r="AP18" s="205">
        <f t="shared" si="17"/>
        <v>27131.725490196099</v>
      </c>
      <c r="AQ18" s="205">
        <f t="shared" si="17"/>
        <v>27131.725490196099</v>
      </c>
      <c r="AR18" s="205">
        <f t="shared" si="17"/>
        <v>27131.725490196099</v>
      </c>
      <c r="AS18" s="205">
        <f t="shared" ref="AS18:BX18" si="18">SUM(AS19:AS22)</f>
        <v>27131.725490196099</v>
      </c>
      <c r="AT18" s="205">
        <f t="shared" si="18"/>
        <v>27131.725490196099</v>
      </c>
      <c r="AU18" s="205">
        <f t="shared" si="18"/>
        <v>27131.725490196099</v>
      </c>
      <c r="AV18" s="205">
        <f t="shared" si="18"/>
        <v>29551.725490196099</v>
      </c>
      <c r="AW18" s="205">
        <f t="shared" si="18"/>
        <v>31774.815199013763</v>
      </c>
      <c r="AX18" s="205">
        <f t="shared" si="18"/>
        <v>31774.815199013763</v>
      </c>
      <c r="AY18" s="205">
        <f t="shared" si="18"/>
        <v>31774.815199013763</v>
      </c>
      <c r="AZ18" s="205">
        <f t="shared" si="18"/>
        <v>31774.815199013763</v>
      </c>
      <c r="BA18" s="205">
        <f t="shared" si="18"/>
        <v>31774.815199013763</v>
      </c>
      <c r="BB18" s="205">
        <f t="shared" si="18"/>
        <v>31774.815199013763</v>
      </c>
      <c r="BC18" s="205">
        <f t="shared" si="18"/>
        <v>31774.815199013763</v>
      </c>
      <c r="BD18" s="205">
        <f t="shared" si="18"/>
        <v>31774.815199013763</v>
      </c>
      <c r="BE18" s="205">
        <f t="shared" si="18"/>
        <v>31774.815199013763</v>
      </c>
      <c r="BF18" s="205">
        <f t="shared" si="18"/>
        <v>31774.815199013763</v>
      </c>
      <c r="BG18" s="205">
        <f t="shared" si="18"/>
        <v>31774.815199013763</v>
      </c>
      <c r="BH18" s="205">
        <f t="shared" si="18"/>
        <v>31774.815199013763</v>
      </c>
      <c r="BI18" s="205">
        <f t="shared" si="18"/>
        <v>34212.375734120025</v>
      </c>
      <c r="BJ18" s="205">
        <f t="shared" si="18"/>
        <v>34212.375734120025</v>
      </c>
      <c r="BK18" s="205">
        <f t="shared" si="18"/>
        <v>34212.375734120025</v>
      </c>
      <c r="BL18" s="205">
        <f t="shared" si="18"/>
        <v>34212.375734120025</v>
      </c>
      <c r="BM18" s="205">
        <f t="shared" si="18"/>
        <v>34212.375734120025</v>
      </c>
      <c r="BN18" s="205">
        <f t="shared" si="18"/>
        <v>34212.375734120025</v>
      </c>
      <c r="BO18" s="205">
        <f t="shared" si="18"/>
        <v>34212.375734120025</v>
      </c>
      <c r="BP18" s="205">
        <f t="shared" si="18"/>
        <v>34212.375734120025</v>
      </c>
      <c r="BQ18" s="205">
        <f t="shared" si="18"/>
        <v>34212.375734120025</v>
      </c>
      <c r="BR18" s="205">
        <f t="shared" si="18"/>
        <v>53358.530219267384</v>
      </c>
      <c r="BS18" s="205">
        <f t="shared" si="18"/>
        <v>53358.530219267384</v>
      </c>
      <c r="BT18" s="205">
        <f t="shared" si="18"/>
        <v>53358.530219267384</v>
      </c>
      <c r="BU18" s="35"/>
      <c r="BV18" s="145">
        <f t="shared" si="11"/>
        <v>270703.62803804182</v>
      </c>
      <c r="BW18" s="145">
        <f t="shared" si="11"/>
        <v>303887.38288129639</v>
      </c>
      <c r="BX18" s="145">
        <f t="shared" si="11"/>
        <v>328000.70588235307</v>
      </c>
      <c r="BY18" s="145">
        <f t="shared" si="11"/>
        <v>381297.78238816513</v>
      </c>
      <c r="BZ18" s="145">
        <f t="shared" si="11"/>
        <v>467986.97226488229</v>
      </c>
      <c r="CA18" s="35"/>
      <c r="CB18" s="189">
        <f t="shared" si="12"/>
        <v>1.2738994260613732</v>
      </c>
      <c r="CC18" s="189">
        <f t="shared" si="13"/>
        <v>0.59295099098789539</v>
      </c>
      <c r="CD18" s="189">
        <f t="shared" si="14"/>
        <v>0.4524147667342801</v>
      </c>
      <c r="CE18" s="189">
        <f t="shared" si="15"/>
        <v>0.4150179944360981</v>
      </c>
      <c r="CF18" s="189">
        <f t="shared" si="16"/>
        <v>0.36704860569794689</v>
      </c>
    </row>
    <row r="19" spans="1:84">
      <c r="A19" s="206" t="s">
        <v>137</v>
      </c>
      <c r="B19" s="207" t="s">
        <v>146</v>
      </c>
      <c r="C19" s="206"/>
      <c r="D19" s="188"/>
      <c r="E19" s="188"/>
      <c r="F19" s="188"/>
      <c r="G19" s="188"/>
      <c r="H19" s="188"/>
      <c r="I19" s="188"/>
      <c r="J19" s="188"/>
      <c r="K19" s="188"/>
      <c r="M19" s="204">
        <f>'Cost Buildup'!M29</f>
        <v>1200</v>
      </c>
      <c r="N19" s="204">
        <f>'Cost Buildup'!N29</f>
        <v>1200</v>
      </c>
      <c r="O19" s="204">
        <f>'Cost Buildup'!O29</f>
        <v>1200</v>
      </c>
      <c r="P19" s="204">
        <f>'Cost Buildup'!P29</f>
        <v>1200</v>
      </c>
      <c r="Q19" s="204">
        <f>'Cost Buildup'!Q29</f>
        <v>1200</v>
      </c>
      <c r="R19" s="204">
        <f>'Cost Buildup'!R29</f>
        <v>1200</v>
      </c>
      <c r="S19" s="204">
        <f>'Cost Buildup'!S29</f>
        <v>1200</v>
      </c>
      <c r="T19" s="204">
        <f>'Cost Buildup'!T29</f>
        <v>1200</v>
      </c>
      <c r="U19" s="204">
        <f>'Cost Buildup'!U29</f>
        <v>1200</v>
      </c>
      <c r="V19" s="204">
        <f>'Cost Buildup'!V29</f>
        <v>1200</v>
      </c>
      <c r="W19" s="204">
        <f>'Cost Buildup'!W29</f>
        <v>1200</v>
      </c>
      <c r="X19" s="204">
        <f>'Cost Buildup'!X29</f>
        <v>1200</v>
      </c>
      <c r="Y19" s="204">
        <f>'Cost Buildup'!Y29</f>
        <v>1260</v>
      </c>
      <c r="Z19" s="204">
        <f>'Cost Buildup'!Z29</f>
        <v>1260</v>
      </c>
      <c r="AA19" s="204">
        <f>'Cost Buildup'!AA29</f>
        <v>1260</v>
      </c>
      <c r="AB19" s="204">
        <f>'Cost Buildup'!AB29</f>
        <v>1260</v>
      </c>
      <c r="AC19" s="204">
        <f>'Cost Buildup'!AC29</f>
        <v>1260</v>
      </c>
      <c r="AD19" s="204">
        <f>'Cost Buildup'!AD29</f>
        <v>1260</v>
      </c>
      <c r="AE19" s="204">
        <f>'Cost Buildup'!AE29</f>
        <v>1260</v>
      </c>
      <c r="AF19" s="204">
        <f>'Cost Buildup'!AF29</f>
        <v>1260</v>
      </c>
      <c r="AG19" s="204">
        <f>'Cost Buildup'!AG29</f>
        <v>1260</v>
      </c>
      <c r="AH19" s="204">
        <f>'Cost Buildup'!AH29</f>
        <v>1260</v>
      </c>
      <c r="AI19" s="204">
        <f>'Cost Buildup'!AI29</f>
        <v>1260</v>
      </c>
      <c r="AJ19" s="204">
        <f>'Cost Buildup'!AJ29</f>
        <v>1260</v>
      </c>
      <c r="AK19" s="204">
        <f>'Cost Buildup'!AK29</f>
        <v>1323</v>
      </c>
      <c r="AL19" s="204">
        <f>'Cost Buildup'!AL29</f>
        <v>1323</v>
      </c>
      <c r="AM19" s="204">
        <f>'Cost Buildup'!AM29</f>
        <v>1323</v>
      </c>
      <c r="AN19" s="204">
        <f>'Cost Buildup'!AN29</f>
        <v>1323</v>
      </c>
      <c r="AO19" s="204">
        <f>'Cost Buildup'!AO29</f>
        <v>1323</v>
      </c>
      <c r="AP19" s="204">
        <f>'Cost Buildup'!AP29</f>
        <v>1323</v>
      </c>
      <c r="AQ19" s="204">
        <f>'Cost Buildup'!AQ29</f>
        <v>1323</v>
      </c>
      <c r="AR19" s="204">
        <f>'Cost Buildup'!AR29</f>
        <v>1323</v>
      </c>
      <c r="AS19" s="204">
        <f>'Cost Buildup'!AS29</f>
        <v>1323</v>
      </c>
      <c r="AT19" s="204">
        <f>'Cost Buildup'!AT29</f>
        <v>1323</v>
      </c>
      <c r="AU19" s="204">
        <f>'Cost Buildup'!AU29</f>
        <v>1323</v>
      </c>
      <c r="AV19" s="204">
        <f>'Cost Buildup'!AV29</f>
        <v>1323</v>
      </c>
      <c r="AW19" s="204">
        <f>'Cost Buildup'!AW29</f>
        <v>1389.15</v>
      </c>
      <c r="AX19" s="204">
        <f>'Cost Buildup'!AX29</f>
        <v>1389.15</v>
      </c>
      <c r="AY19" s="204">
        <f>'Cost Buildup'!AY29</f>
        <v>1389.15</v>
      </c>
      <c r="AZ19" s="204">
        <f>'Cost Buildup'!AZ29</f>
        <v>1389.15</v>
      </c>
      <c r="BA19" s="204">
        <f>'Cost Buildup'!BA29</f>
        <v>1389.15</v>
      </c>
      <c r="BB19" s="204">
        <f>'Cost Buildup'!BB29</f>
        <v>1389.15</v>
      </c>
      <c r="BC19" s="204">
        <f>'Cost Buildup'!BC29</f>
        <v>1389.15</v>
      </c>
      <c r="BD19" s="204">
        <f>'Cost Buildup'!BD29</f>
        <v>1389.15</v>
      </c>
      <c r="BE19" s="204">
        <f>'Cost Buildup'!BE29</f>
        <v>1389.15</v>
      </c>
      <c r="BF19" s="204">
        <f>'Cost Buildup'!BF29</f>
        <v>1389.15</v>
      </c>
      <c r="BG19" s="204">
        <f>'Cost Buildup'!BG29</f>
        <v>1389.15</v>
      </c>
      <c r="BH19" s="204">
        <f>'Cost Buildup'!BH29</f>
        <v>1389.15</v>
      </c>
      <c r="BI19" s="204">
        <f>'Cost Buildup'!BI29</f>
        <v>1458.6075000000001</v>
      </c>
      <c r="BJ19" s="204">
        <f>'Cost Buildup'!BJ29</f>
        <v>1458.6075000000001</v>
      </c>
      <c r="BK19" s="204">
        <f>'Cost Buildup'!BK29</f>
        <v>1458.6075000000001</v>
      </c>
      <c r="BL19" s="204">
        <f>'Cost Buildup'!BL29</f>
        <v>1458.6075000000001</v>
      </c>
      <c r="BM19" s="204">
        <f>'Cost Buildup'!BM29</f>
        <v>1458.6075000000001</v>
      </c>
      <c r="BN19" s="204">
        <f>'Cost Buildup'!BN29</f>
        <v>1458.6075000000001</v>
      </c>
      <c r="BO19" s="204">
        <f>'Cost Buildup'!BO29</f>
        <v>1458.6075000000001</v>
      </c>
      <c r="BP19" s="204">
        <f>'Cost Buildup'!BP29</f>
        <v>1458.6075000000001</v>
      </c>
      <c r="BQ19" s="204">
        <f>'Cost Buildup'!BQ29</f>
        <v>1458.6075000000001</v>
      </c>
      <c r="BR19" s="204">
        <f>'Cost Buildup'!BR29</f>
        <v>1458.6075000000001</v>
      </c>
      <c r="BS19" s="204">
        <f>'Cost Buildup'!BS29</f>
        <v>1458.6075000000001</v>
      </c>
      <c r="BT19" s="204">
        <f>'Cost Buildup'!BT29</f>
        <v>1458.6075000000001</v>
      </c>
      <c r="BU19" s="35"/>
      <c r="BV19" s="145">
        <f t="shared" si="11"/>
        <v>14400</v>
      </c>
      <c r="BW19" s="145">
        <f t="shared" si="11"/>
        <v>15120</v>
      </c>
      <c r="BX19" s="145">
        <f t="shared" si="11"/>
        <v>15876</v>
      </c>
      <c r="BY19" s="145">
        <f t="shared" si="11"/>
        <v>16669.8</v>
      </c>
      <c r="BZ19" s="145">
        <f t="shared" si="11"/>
        <v>17503.29</v>
      </c>
      <c r="CA19" s="35"/>
      <c r="CB19" s="189">
        <f t="shared" si="12"/>
        <v>6.7764705882352935E-2</v>
      </c>
      <c r="CC19" s="189">
        <f t="shared" si="13"/>
        <v>2.9502439024390245E-2</v>
      </c>
      <c r="CD19" s="189">
        <f t="shared" si="14"/>
        <v>2.1897931034482759E-2</v>
      </c>
      <c r="CE19" s="189">
        <f t="shared" si="15"/>
        <v>1.8144E-2</v>
      </c>
      <c r="CF19" s="189">
        <f t="shared" si="16"/>
        <v>1.3728070588235294E-2</v>
      </c>
    </row>
    <row r="20" spans="1:84">
      <c r="A20" s="206" t="s">
        <v>137</v>
      </c>
      <c r="B20" s="207" t="s">
        <v>69</v>
      </c>
      <c r="C20" s="206"/>
      <c r="D20" s="188"/>
      <c r="E20" s="188"/>
      <c r="F20" s="188"/>
      <c r="G20" s="188"/>
      <c r="H20" s="188"/>
      <c r="I20" s="188"/>
      <c r="J20" s="188"/>
      <c r="K20" s="188"/>
      <c r="M20" s="204">
        <f>'Cost Buildup'!M40</f>
        <v>0</v>
      </c>
      <c r="N20" s="204">
        <f>'Cost Buildup'!N40</f>
        <v>0</v>
      </c>
      <c r="O20" s="204">
        <f>'Cost Buildup'!O40</f>
        <v>0</v>
      </c>
      <c r="P20" s="204">
        <f>'Cost Buildup'!P40</f>
        <v>0</v>
      </c>
      <c r="Q20" s="204">
        <f>'Cost Buildup'!Q40</f>
        <v>0</v>
      </c>
      <c r="R20" s="204">
        <f>'Cost Buildup'!R40</f>
        <v>0</v>
      </c>
      <c r="S20" s="204">
        <f>'Cost Buildup'!S40</f>
        <v>0</v>
      </c>
      <c r="T20" s="204">
        <f>'Cost Buildup'!T40</f>
        <v>0</v>
      </c>
      <c r="U20" s="204">
        <f>'Cost Buildup'!U40</f>
        <v>0</v>
      </c>
      <c r="V20" s="204">
        <f>'Cost Buildup'!V40</f>
        <v>0</v>
      </c>
      <c r="W20" s="204">
        <f>'Cost Buildup'!W40</f>
        <v>0</v>
      </c>
      <c r="X20" s="204">
        <f>'Cost Buildup'!X40</f>
        <v>0</v>
      </c>
      <c r="Y20" s="204">
        <f>'Cost Buildup'!Y40</f>
        <v>0</v>
      </c>
      <c r="Z20" s="204">
        <f>'Cost Buildup'!Z40</f>
        <v>0</v>
      </c>
      <c r="AA20" s="204">
        <f>'Cost Buildup'!AA40</f>
        <v>0</v>
      </c>
      <c r="AB20" s="204">
        <f>'Cost Buildup'!AB40</f>
        <v>0</v>
      </c>
      <c r="AC20" s="204">
        <f>'Cost Buildup'!AC40</f>
        <v>0</v>
      </c>
      <c r="AD20" s="204">
        <f>'Cost Buildup'!AD40</f>
        <v>0</v>
      </c>
      <c r="AE20" s="204">
        <f>'Cost Buildup'!AE40</f>
        <v>0</v>
      </c>
      <c r="AF20" s="204">
        <f>'Cost Buildup'!AF40</f>
        <v>0</v>
      </c>
      <c r="AG20" s="204">
        <f>'Cost Buildup'!AG40</f>
        <v>0</v>
      </c>
      <c r="AH20" s="204">
        <f>'Cost Buildup'!AH40</f>
        <v>0</v>
      </c>
      <c r="AI20" s="204">
        <f>'Cost Buildup'!AI40</f>
        <v>0</v>
      </c>
      <c r="AJ20" s="204">
        <f>'Cost Buildup'!AJ40</f>
        <v>0</v>
      </c>
      <c r="AK20" s="204">
        <f>'Cost Buildup'!AK40</f>
        <v>0</v>
      </c>
      <c r="AL20" s="204">
        <f>'Cost Buildup'!AL40</f>
        <v>0</v>
      </c>
      <c r="AM20" s="204">
        <f>'Cost Buildup'!AM40</f>
        <v>0</v>
      </c>
      <c r="AN20" s="204">
        <f>'Cost Buildup'!AN40</f>
        <v>0</v>
      </c>
      <c r="AO20" s="204">
        <f>'Cost Buildup'!AO40</f>
        <v>0</v>
      </c>
      <c r="AP20" s="204">
        <f>'Cost Buildup'!AP40</f>
        <v>0</v>
      </c>
      <c r="AQ20" s="204">
        <f>'Cost Buildup'!AQ40</f>
        <v>0</v>
      </c>
      <c r="AR20" s="204">
        <f>'Cost Buildup'!AR40</f>
        <v>0</v>
      </c>
      <c r="AS20" s="204">
        <f>'Cost Buildup'!AS40</f>
        <v>0</v>
      </c>
      <c r="AT20" s="204">
        <f>'Cost Buildup'!AT40</f>
        <v>0</v>
      </c>
      <c r="AU20" s="204">
        <f>'Cost Buildup'!AU40</f>
        <v>0</v>
      </c>
      <c r="AV20" s="204">
        <f>'Cost Buildup'!AV40</f>
        <v>0</v>
      </c>
      <c r="AW20" s="204">
        <f>'Cost Buildup'!AW40</f>
        <v>0</v>
      </c>
      <c r="AX20" s="204">
        <f>'Cost Buildup'!AX40</f>
        <v>0</v>
      </c>
      <c r="AY20" s="204">
        <f>'Cost Buildup'!AY40</f>
        <v>0</v>
      </c>
      <c r="AZ20" s="204">
        <f>'Cost Buildup'!AZ40</f>
        <v>0</v>
      </c>
      <c r="BA20" s="204">
        <f>'Cost Buildup'!BA40</f>
        <v>0</v>
      </c>
      <c r="BB20" s="204">
        <f>'Cost Buildup'!BB40</f>
        <v>0</v>
      </c>
      <c r="BC20" s="204">
        <f>'Cost Buildup'!BC40</f>
        <v>0</v>
      </c>
      <c r="BD20" s="204">
        <f>'Cost Buildup'!BD40</f>
        <v>0</v>
      </c>
      <c r="BE20" s="204">
        <f>'Cost Buildup'!BE40</f>
        <v>0</v>
      </c>
      <c r="BF20" s="204">
        <f>'Cost Buildup'!BF40</f>
        <v>0</v>
      </c>
      <c r="BG20" s="204">
        <f>'Cost Buildup'!BG40</f>
        <v>0</v>
      </c>
      <c r="BH20" s="204">
        <f>'Cost Buildup'!BH40</f>
        <v>0</v>
      </c>
      <c r="BI20" s="204">
        <f>'Cost Buildup'!BI40</f>
        <v>0</v>
      </c>
      <c r="BJ20" s="204">
        <f>'Cost Buildup'!BJ40</f>
        <v>0</v>
      </c>
      <c r="BK20" s="204">
        <f>'Cost Buildup'!BK40</f>
        <v>0</v>
      </c>
      <c r="BL20" s="204">
        <f>'Cost Buildup'!BL40</f>
        <v>0</v>
      </c>
      <c r="BM20" s="204">
        <f>'Cost Buildup'!BM40</f>
        <v>0</v>
      </c>
      <c r="BN20" s="204">
        <f>'Cost Buildup'!BN40</f>
        <v>0</v>
      </c>
      <c r="BO20" s="204">
        <f>'Cost Buildup'!BO40</f>
        <v>0</v>
      </c>
      <c r="BP20" s="204">
        <f>'Cost Buildup'!BP40</f>
        <v>0</v>
      </c>
      <c r="BQ20" s="204">
        <f>'Cost Buildup'!BQ40</f>
        <v>0</v>
      </c>
      <c r="BR20" s="204">
        <f>'Cost Buildup'!BR40</f>
        <v>0</v>
      </c>
      <c r="BS20" s="204">
        <f>'Cost Buildup'!BS40</f>
        <v>0</v>
      </c>
      <c r="BT20" s="204">
        <f>'Cost Buildup'!BT40</f>
        <v>0</v>
      </c>
      <c r="BU20" s="35"/>
      <c r="BV20" s="145">
        <f t="shared" si="11"/>
        <v>0</v>
      </c>
      <c r="BW20" s="145">
        <f t="shared" si="11"/>
        <v>0</v>
      </c>
      <c r="BX20" s="145">
        <f t="shared" si="11"/>
        <v>0</v>
      </c>
      <c r="BY20" s="145">
        <f t="shared" si="11"/>
        <v>0</v>
      </c>
      <c r="BZ20" s="145">
        <f t="shared" si="11"/>
        <v>0</v>
      </c>
      <c r="CA20" s="35"/>
      <c r="CB20" s="189">
        <f t="shared" si="12"/>
        <v>0</v>
      </c>
      <c r="CC20" s="189">
        <f t="shared" si="13"/>
        <v>0</v>
      </c>
      <c r="CD20" s="189">
        <f t="shared" si="14"/>
        <v>0</v>
      </c>
      <c r="CE20" s="189">
        <f t="shared" si="15"/>
        <v>0</v>
      </c>
      <c r="CF20" s="189">
        <f t="shared" si="16"/>
        <v>0</v>
      </c>
    </row>
    <row r="21" spans="1:84">
      <c r="A21" s="206" t="s">
        <v>137</v>
      </c>
      <c r="B21" s="207" t="s">
        <v>78</v>
      </c>
      <c r="C21" s="206"/>
      <c r="D21" s="188"/>
      <c r="E21" s="188"/>
      <c r="F21" s="188"/>
      <c r="G21" s="188"/>
      <c r="H21" s="188"/>
      <c r="I21" s="188"/>
      <c r="J21" s="188"/>
      <c r="K21" s="188"/>
      <c r="M21" s="135">
        <f>'Cost Buildup'!M52</f>
        <v>5929.3178349184082</v>
      </c>
      <c r="N21" s="135">
        <f>'Cost Buildup'!N52</f>
        <v>5929.3178349184082</v>
      </c>
      <c r="O21" s="135">
        <f>'Cost Buildup'!O52</f>
        <v>5929.3178349184082</v>
      </c>
      <c r="P21" s="135">
        <f>'Cost Buildup'!P52</f>
        <v>5929.3178349184082</v>
      </c>
      <c r="Q21" s="135">
        <f>'Cost Buildup'!Q52</f>
        <v>5929.3178349184082</v>
      </c>
      <c r="R21" s="135">
        <f>'Cost Buildup'!R52</f>
        <v>5929.3178349184082</v>
      </c>
      <c r="S21" s="135">
        <f>'Cost Buildup'!S52</f>
        <v>6633.7912410473273</v>
      </c>
      <c r="T21" s="135">
        <f>'Cost Buildup'!T52</f>
        <v>6633.7912410473273</v>
      </c>
      <c r="U21" s="135">
        <f>'Cost Buildup'!U52</f>
        <v>6633.7912410473273</v>
      </c>
      <c r="V21" s="135">
        <f>'Cost Buildup'!V52</f>
        <v>6633.7912410473273</v>
      </c>
      <c r="W21" s="135">
        <f>'Cost Buildup'!W52</f>
        <v>6633.7912410473273</v>
      </c>
      <c r="X21" s="135">
        <f>'Cost Buildup'!X52</f>
        <v>6633.7912410473273</v>
      </c>
      <c r="Y21" s="135">
        <f>'Cost Buildup'!Y52</f>
        <v>7479.1593284020291</v>
      </c>
      <c r="Z21" s="135">
        <f>'Cost Buildup'!Z52</f>
        <v>7479.1593284020291</v>
      </c>
      <c r="AA21" s="135">
        <f>'Cost Buildup'!AA52</f>
        <v>7479.1593284020291</v>
      </c>
      <c r="AB21" s="135">
        <f>'Cost Buildup'!AB52</f>
        <v>7479.1593284020291</v>
      </c>
      <c r="AC21" s="135">
        <f>'Cost Buildup'!AC52</f>
        <v>7479.1593284020291</v>
      </c>
      <c r="AD21" s="135">
        <f>'Cost Buildup'!AD52</f>
        <v>7479.1593284020291</v>
      </c>
      <c r="AE21" s="135">
        <f>'Cost Buildup'!AE52</f>
        <v>7479.1593284020291</v>
      </c>
      <c r="AF21" s="135">
        <f>'Cost Buildup'!AF52</f>
        <v>7479.1593284020291</v>
      </c>
      <c r="AG21" s="135">
        <f>'Cost Buildup'!AG52</f>
        <v>7479.1593284020291</v>
      </c>
      <c r="AH21" s="135">
        <f>'Cost Buildup'!AH52</f>
        <v>7479.1593284020291</v>
      </c>
      <c r="AI21" s="135">
        <f>'Cost Buildup'!AI52</f>
        <v>7479.1593284020291</v>
      </c>
      <c r="AJ21" s="135">
        <f>'Cost Buildup'!AJ52</f>
        <v>7479.1593284020291</v>
      </c>
      <c r="AK21" s="135">
        <f>'Cost Buildup'!AK52</f>
        <v>7565.4573206528221</v>
      </c>
      <c r="AL21" s="135">
        <f>'Cost Buildup'!AL52</f>
        <v>7565.4573206528221</v>
      </c>
      <c r="AM21" s="135">
        <f>'Cost Buildup'!AM52</f>
        <v>7565.4573206528221</v>
      </c>
      <c r="AN21" s="135">
        <f>'Cost Buildup'!AN52</f>
        <v>7565.4573206528221</v>
      </c>
      <c r="AO21" s="135">
        <f>'Cost Buildup'!AO52</f>
        <v>7565.4573206528221</v>
      </c>
      <c r="AP21" s="135">
        <f>'Cost Buildup'!AP52</f>
        <v>7565.4573206528221</v>
      </c>
      <c r="AQ21" s="135">
        <f>'Cost Buildup'!AQ52</f>
        <v>7565.4573206528221</v>
      </c>
      <c r="AR21" s="135">
        <f>'Cost Buildup'!AR52</f>
        <v>7565.4573206528221</v>
      </c>
      <c r="AS21" s="135">
        <f>'Cost Buildup'!AS52</f>
        <v>7565.4573206528221</v>
      </c>
      <c r="AT21" s="135">
        <f>'Cost Buildup'!AT52</f>
        <v>7565.4573206528221</v>
      </c>
      <c r="AU21" s="135">
        <f>'Cost Buildup'!AU52</f>
        <v>7565.4573206528221</v>
      </c>
      <c r="AV21" s="135">
        <f>'Cost Buildup'!AV52</f>
        <v>7565.4573206528221</v>
      </c>
      <c r="AW21" s="135">
        <f>'Cost Buildup'!AW52</f>
        <v>7656.0702125161542</v>
      </c>
      <c r="AX21" s="135">
        <f>'Cost Buildup'!AX52</f>
        <v>7656.0702125161542</v>
      </c>
      <c r="AY21" s="135">
        <f>'Cost Buildup'!AY52</f>
        <v>7656.0702125161542</v>
      </c>
      <c r="AZ21" s="135">
        <f>'Cost Buildup'!AZ52</f>
        <v>7656.0702125161542</v>
      </c>
      <c r="BA21" s="135">
        <f>'Cost Buildup'!BA52</f>
        <v>7656.0702125161542</v>
      </c>
      <c r="BB21" s="135">
        <f>'Cost Buildup'!BB52</f>
        <v>7656.0702125161542</v>
      </c>
      <c r="BC21" s="135">
        <f>'Cost Buildup'!BC52</f>
        <v>7656.0702125161542</v>
      </c>
      <c r="BD21" s="135">
        <f>'Cost Buildup'!BD52</f>
        <v>7656.0702125161542</v>
      </c>
      <c r="BE21" s="135">
        <f>'Cost Buildup'!BE52</f>
        <v>7656.0702125161542</v>
      </c>
      <c r="BF21" s="135">
        <f>'Cost Buildup'!BF52</f>
        <v>7656.0702125161542</v>
      </c>
      <c r="BG21" s="135">
        <f>'Cost Buildup'!BG52</f>
        <v>7656.0702125161542</v>
      </c>
      <c r="BH21" s="135">
        <f>'Cost Buildup'!BH52</f>
        <v>7656.0702125161542</v>
      </c>
      <c r="BI21" s="135">
        <f>'Cost Buildup'!BI52</f>
        <v>7751.2137489726529</v>
      </c>
      <c r="BJ21" s="135">
        <f>'Cost Buildup'!BJ52</f>
        <v>7751.2137489726529</v>
      </c>
      <c r="BK21" s="135">
        <f>'Cost Buildup'!BK52</f>
        <v>7751.2137489726529</v>
      </c>
      <c r="BL21" s="135">
        <f>'Cost Buildup'!BL52</f>
        <v>7751.2137489726529</v>
      </c>
      <c r="BM21" s="135">
        <f>'Cost Buildup'!BM52</f>
        <v>7751.2137489726529</v>
      </c>
      <c r="BN21" s="135">
        <f>'Cost Buildup'!BN52</f>
        <v>7751.2137489726529</v>
      </c>
      <c r="BO21" s="135">
        <f>'Cost Buildup'!BO52</f>
        <v>7751.2137489726529</v>
      </c>
      <c r="BP21" s="135">
        <f>'Cost Buildup'!BP52</f>
        <v>7751.2137489726529</v>
      </c>
      <c r="BQ21" s="135">
        <f>'Cost Buildup'!BQ52</f>
        <v>7751.2137489726529</v>
      </c>
      <c r="BR21" s="135">
        <f>'Cost Buildup'!BR52</f>
        <v>7751.2137489726529</v>
      </c>
      <c r="BS21" s="135">
        <f>'Cost Buildup'!BS52</f>
        <v>7751.2137489726529</v>
      </c>
      <c r="BT21" s="135">
        <f>'Cost Buildup'!BT52</f>
        <v>7751.2137489726529</v>
      </c>
      <c r="BU21" s="35"/>
      <c r="BV21" s="145">
        <f t="shared" si="11"/>
        <v>75378.654455794414</v>
      </c>
      <c r="BW21" s="145">
        <f t="shared" si="11"/>
        <v>89749.911940824357</v>
      </c>
      <c r="BX21" s="145">
        <f t="shared" si="11"/>
        <v>90785.487847833836</v>
      </c>
      <c r="BY21" s="145">
        <f t="shared" si="11"/>
        <v>91872.842550193833</v>
      </c>
      <c r="BZ21" s="145">
        <f t="shared" si="11"/>
        <v>93014.564987671853</v>
      </c>
      <c r="CA21" s="35"/>
      <c r="CB21" s="189">
        <f t="shared" si="12"/>
        <v>0.35472307979197371</v>
      </c>
      <c r="CC21" s="189">
        <f t="shared" si="13"/>
        <v>0.17512177939673046</v>
      </c>
      <c r="CD21" s="189">
        <f t="shared" si="14"/>
        <v>0.12522136254873634</v>
      </c>
      <c r="CE21" s="189">
        <f t="shared" si="15"/>
        <v>9.9997651755313013E-2</v>
      </c>
      <c r="CF21" s="189">
        <f t="shared" si="16"/>
        <v>7.2952599990330866E-2</v>
      </c>
    </row>
    <row r="22" spans="1:84">
      <c r="A22" s="206" t="s">
        <v>137</v>
      </c>
      <c r="B22" s="207" t="s">
        <v>130</v>
      </c>
      <c r="C22" s="208"/>
      <c r="D22" s="188"/>
      <c r="E22" s="188"/>
      <c r="F22" s="188"/>
      <c r="G22" s="188"/>
      <c r="H22" s="188"/>
      <c r="I22" s="188"/>
      <c r="J22" s="188"/>
      <c r="K22" s="188"/>
      <c r="M22" s="135">
        <f>'Cost Buildup'!M67</f>
        <v>15077.081131853949</v>
      </c>
      <c r="N22" s="135">
        <f>'Cost Buildup'!N67</f>
        <v>15077.081131853949</v>
      </c>
      <c r="O22" s="135">
        <f>'Cost Buildup'!O67</f>
        <v>15077.081131853949</v>
      </c>
      <c r="P22" s="135">
        <f>'Cost Buildup'!P67</f>
        <v>15077.081131853949</v>
      </c>
      <c r="Q22" s="135">
        <f>'Cost Buildup'!Q67</f>
        <v>15077.081131853949</v>
      </c>
      <c r="R22" s="135">
        <f>'Cost Buildup'!R67</f>
        <v>15077.081131853949</v>
      </c>
      <c r="S22" s="135">
        <f>'Cost Buildup'!S67</f>
        <v>15077.081131853949</v>
      </c>
      <c r="T22" s="135">
        <f>'Cost Buildup'!T67</f>
        <v>15077.081131853949</v>
      </c>
      <c r="U22" s="135">
        <f>'Cost Buildup'!U67</f>
        <v>15077.081131853949</v>
      </c>
      <c r="V22" s="135">
        <f>'Cost Buildup'!V67</f>
        <v>15077.081131853949</v>
      </c>
      <c r="W22" s="135">
        <f>'Cost Buildup'!W67</f>
        <v>15077.081131853949</v>
      </c>
      <c r="X22" s="135">
        <f>'Cost Buildup'!X67</f>
        <v>15077.081131853949</v>
      </c>
      <c r="Y22" s="135">
        <f>'Cost Buildup'!Y67</f>
        <v>16584.789245039341</v>
      </c>
      <c r="Z22" s="135">
        <f>'Cost Buildup'!Z67</f>
        <v>16584.789245039341</v>
      </c>
      <c r="AA22" s="135">
        <f>'Cost Buildup'!AA67</f>
        <v>16584.789245039341</v>
      </c>
      <c r="AB22" s="135">
        <f>'Cost Buildup'!AB67</f>
        <v>16584.789245039341</v>
      </c>
      <c r="AC22" s="135">
        <f>'Cost Buildup'!AC67</f>
        <v>16584.789245039341</v>
      </c>
      <c r="AD22" s="135">
        <f>'Cost Buildup'!AD67</f>
        <v>16584.789245039341</v>
      </c>
      <c r="AE22" s="135">
        <f>'Cost Buildup'!AE67</f>
        <v>16584.789245039341</v>
      </c>
      <c r="AF22" s="135">
        <f>'Cost Buildup'!AF67</f>
        <v>16584.789245039341</v>
      </c>
      <c r="AG22" s="135">
        <f>'Cost Buildup'!AG67</f>
        <v>16584.789245039341</v>
      </c>
      <c r="AH22" s="135">
        <f>'Cost Buildup'!AH67</f>
        <v>16584.789245039341</v>
      </c>
      <c r="AI22" s="135">
        <f>'Cost Buildup'!AI67</f>
        <v>16584.789245039341</v>
      </c>
      <c r="AJ22" s="135">
        <f>'Cost Buildup'!AJ67</f>
        <v>16584.789245039341</v>
      </c>
      <c r="AK22" s="135">
        <f>'Cost Buildup'!AK67</f>
        <v>18243.268169543277</v>
      </c>
      <c r="AL22" s="135">
        <f>'Cost Buildup'!AL67</f>
        <v>18243.268169543277</v>
      </c>
      <c r="AM22" s="135">
        <f>'Cost Buildup'!AM67</f>
        <v>18243.268169543277</v>
      </c>
      <c r="AN22" s="135">
        <f>'Cost Buildup'!AN67</f>
        <v>18243.268169543277</v>
      </c>
      <c r="AO22" s="135">
        <f>'Cost Buildup'!AO67</f>
        <v>18243.268169543277</v>
      </c>
      <c r="AP22" s="135">
        <f>'Cost Buildup'!AP67</f>
        <v>18243.268169543277</v>
      </c>
      <c r="AQ22" s="135">
        <f>'Cost Buildup'!AQ67</f>
        <v>18243.268169543277</v>
      </c>
      <c r="AR22" s="135">
        <f>'Cost Buildup'!AR67</f>
        <v>18243.268169543277</v>
      </c>
      <c r="AS22" s="135">
        <f>'Cost Buildup'!AS67</f>
        <v>18243.268169543277</v>
      </c>
      <c r="AT22" s="135">
        <f>'Cost Buildup'!AT67</f>
        <v>18243.268169543277</v>
      </c>
      <c r="AU22" s="135">
        <f>'Cost Buildup'!AU67</f>
        <v>18243.268169543277</v>
      </c>
      <c r="AV22" s="135">
        <f>'Cost Buildup'!AV67</f>
        <v>20663.268169543277</v>
      </c>
      <c r="AW22" s="135">
        <f>'Cost Buildup'!AW67</f>
        <v>22729.594986497606</v>
      </c>
      <c r="AX22" s="135">
        <f>'Cost Buildup'!AX67</f>
        <v>22729.594986497606</v>
      </c>
      <c r="AY22" s="135">
        <f>'Cost Buildup'!AY67</f>
        <v>22729.594986497606</v>
      </c>
      <c r="AZ22" s="135">
        <f>'Cost Buildup'!AZ67</f>
        <v>22729.594986497606</v>
      </c>
      <c r="BA22" s="135">
        <f>'Cost Buildup'!BA67</f>
        <v>22729.594986497606</v>
      </c>
      <c r="BB22" s="135">
        <f>'Cost Buildup'!BB67</f>
        <v>22729.594986497606</v>
      </c>
      <c r="BC22" s="135">
        <f>'Cost Buildup'!BC67</f>
        <v>22729.594986497606</v>
      </c>
      <c r="BD22" s="135">
        <f>'Cost Buildup'!BD67</f>
        <v>22729.594986497606</v>
      </c>
      <c r="BE22" s="135">
        <f>'Cost Buildup'!BE67</f>
        <v>22729.594986497606</v>
      </c>
      <c r="BF22" s="135">
        <f>'Cost Buildup'!BF67</f>
        <v>22729.594986497606</v>
      </c>
      <c r="BG22" s="135">
        <f>'Cost Buildup'!BG67</f>
        <v>22729.594986497606</v>
      </c>
      <c r="BH22" s="135">
        <f>'Cost Buildup'!BH67</f>
        <v>22729.594986497606</v>
      </c>
      <c r="BI22" s="135">
        <f>'Cost Buildup'!BI67</f>
        <v>25002.554485147368</v>
      </c>
      <c r="BJ22" s="135">
        <f>'Cost Buildup'!BJ67</f>
        <v>25002.554485147368</v>
      </c>
      <c r="BK22" s="135">
        <f>'Cost Buildup'!BK67</f>
        <v>25002.554485147368</v>
      </c>
      <c r="BL22" s="135">
        <f>'Cost Buildup'!BL67</f>
        <v>25002.554485147368</v>
      </c>
      <c r="BM22" s="135">
        <f>'Cost Buildup'!BM67</f>
        <v>25002.554485147368</v>
      </c>
      <c r="BN22" s="135">
        <f>'Cost Buildup'!BN67</f>
        <v>25002.554485147368</v>
      </c>
      <c r="BO22" s="135">
        <f>'Cost Buildup'!BO67</f>
        <v>25002.554485147368</v>
      </c>
      <c r="BP22" s="135">
        <f>'Cost Buildup'!BP67</f>
        <v>25002.554485147368</v>
      </c>
      <c r="BQ22" s="135">
        <f>'Cost Buildup'!BQ67</f>
        <v>25002.554485147368</v>
      </c>
      <c r="BR22" s="135">
        <f>'Cost Buildup'!BR67</f>
        <v>44148.708970294727</v>
      </c>
      <c r="BS22" s="135">
        <f>'Cost Buildup'!BS67</f>
        <v>44148.708970294727</v>
      </c>
      <c r="BT22" s="135">
        <f>'Cost Buildup'!BT67</f>
        <v>44148.708970294727</v>
      </c>
      <c r="BU22" s="35"/>
      <c r="BV22" s="145">
        <f t="shared" si="11"/>
        <v>180924.97358224739</v>
      </c>
      <c r="BW22" s="145">
        <f t="shared" si="11"/>
        <v>199017.47094047209</v>
      </c>
      <c r="BX22" s="145">
        <f t="shared" si="11"/>
        <v>221339.21803451926</v>
      </c>
      <c r="BY22" s="145">
        <f t="shared" si="11"/>
        <v>272755.13983797125</v>
      </c>
      <c r="BZ22" s="145">
        <f t="shared" si="11"/>
        <v>357469.11727721052</v>
      </c>
      <c r="CA22" s="35"/>
      <c r="CB22" s="189">
        <f t="shared" si="12"/>
        <v>0.85141164038704653</v>
      </c>
      <c r="CC22" s="189">
        <f t="shared" si="13"/>
        <v>0.38832677256677484</v>
      </c>
      <c r="CD22" s="189">
        <f t="shared" si="14"/>
        <v>0.30529547315106104</v>
      </c>
      <c r="CE22" s="189">
        <f t="shared" si="15"/>
        <v>0.29687634268078505</v>
      </c>
      <c r="CF22" s="189">
        <f t="shared" si="16"/>
        <v>0.2803679351193808</v>
      </c>
    </row>
    <row r="23" spans="1:84" ht="15.6">
      <c r="A23" s="194" t="s">
        <v>147</v>
      </c>
      <c r="B23" s="194"/>
      <c r="C23" s="194"/>
      <c r="D23" s="194"/>
      <c r="E23" s="194"/>
      <c r="F23" s="194"/>
      <c r="G23" s="195"/>
      <c r="H23" s="195"/>
      <c r="I23" s="195"/>
      <c r="J23" s="195"/>
      <c r="K23" s="209"/>
      <c r="L23" s="28"/>
      <c r="M23" s="153">
        <f t="shared" ref="M23:AR23" si="19">SUM(M15:M18)</f>
        <v>32406.164142303656</v>
      </c>
      <c r="N23" s="153">
        <f t="shared" si="19"/>
        <v>32448.365520226893</v>
      </c>
      <c r="O23" s="153">
        <f t="shared" si="19"/>
        <v>34741.200924215649</v>
      </c>
      <c r="P23" s="153">
        <f t="shared" si="19"/>
        <v>32534.683034791226</v>
      </c>
      <c r="Q23" s="153">
        <f t="shared" si="19"/>
        <v>32578.824786085366</v>
      </c>
      <c r="R23" s="153">
        <f t="shared" si="19"/>
        <v>35018.572542387235</v>
      </c>
      <c r="S23" s="153">
        <f t="shared" si="19"/>
        <v>33665.095391121227</v>
      </c>
      <c r="T23" s="153">
        <f t="shared" si="19"/>
        <v>33712.911678259166</v>
      </c>
      <c r="U23" s="153">
        <f t="shared" si="19"/>
        <v>36011.441981724929</v>
      </c>
      <c r="V23" s="153">
        <f t="shared" si="19"/>
        <v>33810.700581845056</v>
      </c>
      <c r="W23" s="153">
        <f t="shared" si="19"/>
        <v>33860.70204455265</v>
      </c>
      <c r="X23" s="153">
        <f t="shared" si="19"/>
        <v>36161.461227099455</v>
      </c>
      <c r="Y23" s="153">
        <f t="shared" si="19"/>
        <v>36677.243600069174</v>
      </c>
      <c r="Z23" s="153">
        <f t="shared" si="19"/>
        <v>36731.179384672294</v>
      </c>
      <c r="AA23" s="153">
        <f t="shared" si="19"/>
        <v>39035.919267630539</v>
      </c>
      <c r="AB23" s="153">
        <f t="shared" si="19"/>
        <v>36841.479330911025</v>
      </c>
      <c r="AC23" s="153">
        <f t="shared" si="19"/>
        <v>36897.875978120181</v>
      </c>
      <c r="AD23" s="153">
        <f t="shared" si="19"/>
        <v>39205.125940936588</v>
      </c>
      <c r="AE23" s="153">
        <f t="shared" si="19"/>
        <v>37013.246285672394</v>
      </c>
      <c r="AF23" s="153">
        <f t="shared" si="19"/>
        <v>37072.254419965975</v>
      </c>
      <c r="AG23" s="153">
        <f t="shared" si="19"/>
        <v>39539.216741830343</v>
      </c>
      <c r="AH23" s="153">
        <f t="shared" si="19"/>
        <v>37350.861775778583</v>
      </c>
      <c r="AI23" s="153">
        <f t="shared" si="19"/>
        <v>37413.448939107868</v>
      </c>
      <c r="AJ23" s="153">
        <f t="shared" si="19"/>
        <v>39726.997074405808</v>
      </c>
      <c r="AK23" s="153">
        <f t="shared" si="19"/>
        <v>39589.302317866503</v>
      </c>
      <c r="AL23" s="153">
        <f t="shared" si="19"/>
        <v>39654.830439808662</v>
      </c>
      <c r="AM23" s="153">
        <f t="shared" si="19"/>
        <v>39721.378352891734</v>
      </c>
      <c r="AN23" s="153">
        <f t="shared" si="19"/>
        <v>39788.966452938541</v>
      </c>
      <c r="AO23" s="153">
        <f t="shared" si="19"/>
        <v>39857.615543688356</v>
      </c>
      <c r="AP23" s="153">
        <f t="shared" si="19"/>
        <v>42177.346844955231</v>
      </c>
      <c r="AQ23" s="153">
        <f t="shared" si="19"/>
        <v>39998.18200094952</v>
      </c>
      <c r="AR23" s="153">
        <f t="shared" si="19"/>
        <v>40070.143088765763</v>
      </c>
      <c r="AS23" s="153">
        <f t="shared" ref="AS23:BT23" si="20">SUM(AS15:AS18)</f>
        <v>40143.252627040405</v>
      </c>
      <c r="AT23" s="153">
        <f t="shared" si="20"/>
        <v>40217.533584782606</v>
      </c>
      <c r="AU23" s="153">
        <f t="shared" si="20"/>
        <v>40293.009390381732</v>
      </c>
      <c r="AV23" s="153">
        <f t="shared" si="20"/>
        <v>45208.868053763785</v>
      </c>
      <c r="AW23" s="153">
        <f t="shared" si="20"/>
        <v>45260.703130754759</v>
      </c>
      <c r="AX23" s="153">
        <f t="shared" si="20"/>
        <v>45340.716481032607</v>
      </c>
      <c r="AY23" s="153">
        <f t="shared" si="20"/>
        <v>45422.023173057089</v>
      </c>
      <c r="AZ23" s="153">
        <f t="shared" si="20"/>
        <v>47754.649073663139</v>
      </c>
      <c r="BA23" s="153">
        <f t="shared" si="20"/>
        <v>45588.620567022386</v>
      </c>
      <c r="BB23" s="153">
        <f t="shared" si="20"/>
        <v>45673.964564989888</v>
      </c>
      <c r="BC23" s="153">
        <f t="shared" si="20"/>
        <v>45760.708517657811</v>
      </c>
      <c r="BD23" s="153">
        <f t="shared" si="20"/>
        <v>48274.506121487473</v>
      </c>
      <c r="BE23" s="153">
        <f t="shared" si="20"/>
        <v>46114.94223886996</v>
      </c>
      <c r="BF23" s="153">
        <f t="shared" si="20"/>
        <v>46206.863999380184</v>
      </c>
      <c r="BG23" s="153">
        <f t="shared" si="20"/>
        <v>46300.301115880677</v>
      </c>
      <c r="BH23" s="153">
        <f t="shared" si="20"/>
        <v>48645.283895491273</v>
      </c>
      <c r="BI23" s="153">
        <f t="shared" si="20"/>
        <v>48929.403786580413</v>
      </c>
      <c r="BJ23" s="153">
        <f t="shared" si="20"/>
        <v>51277.571250463028</v>
      </c>
      <c r="BK23" s="153">
        <f t="shared" si="20"/>
        <v>49127.378984403374</v>
      </c>
      <c r="BL23" s="153">
        <f t="shared" si="20"/>
        <v>51478.859793802607</v>
      </c>
      <c r="BM23" s="153">
        <f t="shared" si="20"/>
        <v>49332.047140169903</v>
      </c>
      <c r="BN23" s="153">
        <f t="shared" si="20"/>
        <v>51686.975154244625</v>
      </c>
      <c r="BO23" s="153">
        <f t="shared" si="20"/>
        <v>49543.67864938092</v>
      </c>
      <c r="BP23" s="153">
        <f t="shared" si="20"/>
        <v>52087.51120916495</v>
      </c>
      <c r="BQ23" s="153">
        <f t="shared" si="20"/>
        <v>49948.680603530309</v>
      </c>
      <c r="BR23" s="153">
        <f t="shared" si="20"/>
        <v>72766.42292820118</v>
      </c>
      <c r="BS23" s="153">
        <f t="shared" si="20"/>
        <v>70637.052201422077</v>
      </c>
      <c r="BT23" s="153">
        <f t="shared" si="20"/>
        <v>73009.64174919948</v>
      </c>
      <c r="BU23" s="35"/>
      <c r="BV23" s="154">
        <f t="shared" si="11"/>
        <v>406950.12385461252</v>
      </c>
      <c r="BW23" s="154">
        <f t="shared" si="11"/>
        <v>453504.84873910074</v>
      </c>
      <c r="BX23" s="154">
        <f t="shared" si="11"/>
        <v>486720.42869783286</v>
      </c>
      <c r="BY23" s="154">
        <f t="shared" si="11"/>
        <v>556343.28287928726</v>
      </c>
      <c r="BZ23" s="154">
        <f t="shared" si="11"/>
        <v>669825.22345056292</v>
      </c>
      <c r="CA23" s="35"/>
      <c r="CB23" s="210">
        <f t="shared" si="12"/>
        <v>1.9150594063746471</v>
      </c>
      <c r="CC23" s="210">
        <f t="shared" si="13"/>
        <v>0.88488750973483066</v>
      </c>
      <c r="CD23" s="210">
        <f t="shared" si="14"/>
        <v>0.67133852234183844</v>
      </c>
      <c r="CE23" s="210">
        <f t="shared" si="15"/>
        <v>0.60554370925636714</v>
      </c>
      <c r="CF23" s="210">
        <f t="shared" si="16"/>
        <v>0.52535311643181404</v>
      </c>
    </row>
    <row r="24" spans="1:84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BU24" s="35"/>
      <c r="BV24" s="58"/>
      <c r="BW24" s="58"/>
      <c r="BX24" s="140"/>
      <c r="BY24" s="140"/>
      <c r="BZ24" s="58"/>
      <c r="CA24" s="35"/>
      <c r="CB24" s="189">
        <f>BV24/BV$7</f>
        <v>0</v>
      </c>
      <c r="CC24" s="189">
        <f>BW24/BW$7</f>
        <v>0</v>
      </c>
      <c r="CD24" s="189"/>
      <c r="CE24" s="189"/>
      <c r="CF24" s="189"/>
    </row>
    <row r="25" spans="1:84" ht="15.6">
      <c r="A25" s="197"/>
      <c r="B25" s="211" t="s">
        <v>148</v>
      </c>
      <c r="C25" s="197"/>
      <c r="D25" s="197"/>
      <c r="E25" s="197"/>
      <c r="F25" s="197"/>
      <c r="G25" s="197"/>
      <c r="H25" s="197"/>
      <c r="I25" s="197"/>
      <c r="J25" s="197"/>
      <c r="K25" s="197"/>
      <c r="L25" s="198"/>
      <c r="M25" s="199">
        <f t="shared" ref="M25:AR25" si="21">M12-M23</f>
        <v>-26531.164142303656</v>
      </c>
      <c r="N25" s="199">
        <f t="shared" si="21"/>
        <v>-26573.365520226893</v>
      </c>
      <c r="O25" s="199">
        <f t="shared" si="21"/>
        <v>-22991.200924215649</v>
      </c>
      <c r="P25" s="199">
        <f t="shared" si="21"/>
        <v>-20784.683034791226</v>
      </c>
      <c r="Q25" s="199">
        <f t="shared" si="21"/>
        <v>-20828.824786085366</v>
      </c>
      <c r="R25" s="199">
        <f t="shared" si="21"/>
        <v>-18215.458182870974</v>
      </c>
      <c r="S25" s="199">
        <f t="shared" si="21"/>
        <v>-16861.981031604966</v>
      </c>
      <c r="T25" s="199">
        <f t="shared" si="21"/>
        <v>-16909.797318742905</v>
      </c>
      <c r="U25" s="199">
        <f t="shared" si="21"/>
        <v>-13333.327622208668</v>
      </c>
      <c r="V25" s="199">
        <f t="shared" si="21"/>
        <v>-11132.586222328795</v>
      </c>
      <c r="W25" s="199">
        <f t="shared" si="21"/>
        <v>-11182.587685036389</v>
      </c>
      <c r="X25" s="199">
        <f t="shared" si="21"/>
        <v>-7608.3468675831937</v>
      </c>
      <c r="Y25" s="199">
        <f t="shared" si="21"/>
        <v>-8165.2235225771001</v>
      </c>
      <c r="Z25" s="199">
        <f t="shared" si="21"/>
        <v>-8219.1593071802199</v>
      </c>
      <c r="AA25" s="199">
        <f t="shared" si="21"/>
        <v>-4648.8991901384652</v>
      </c>
      <c r="AB25" s="199">
        <f t="shared" si="21"/>
        <v>-2454.4592534189505</v>
      </c>
      <c r="AC25" s="199">
        <f t="shared" si="21"/>
        <v>-2510.8559006281066</v>
      </c>
      <c r="AD25" s="199">
        <f t="shared" si="21"/>
        <v>1056.8941365554856</v>
      </c>
      <c r="AE25" s="199">
        <f t="shared" si="21"/>
        <v>3248.7737918196799</v>
      </c>
      <c r="AF25" s="199">
        <f t="shared" si="21"/>
        <v>3189.7656575260989</v>
      </c>
      <c r="AG25" s="199">
        <f t="shared" si="21"/>
        <v>5734.8234131538047</v>
      </c>
      <c r="AH25" s="199">
        <f t="shared" si="21"/>
        <v>7923.1783792055649</v>
      </c>
      <c r="AI25" s="199">
        <f t="shared" si="21"/>
        <v>7860.5912158762803</v>
      </c>
      <c r="AJ25" s="199">
        <f t="shared" si="21"/>
        <v>11422.04308057834</v>
      </c>
      <c r="AK25" s="199">
        <f t="shared" si="21"/>
        <v>11473.439844866851</v>
      </c>
      <c r="AL25" s="199">
        <f t="shared" si="21"/>
        <v>11407.911722924691</v>
      </c>
      <c r="AM25" s="199">
        <f t="shared" si="21"/>
        <v>11341.36380984162</v>
      </c>
      <c r="AN25" s="199">
        <f t="shared" si="21"/>
        <v>11273.775709794812</v>
      </c>
      <c r="AO25" s="199">
        <f t="shared" si="21"/>
        <v>11205.126619044997</v>
      </c>
      <c r="AP25" s="199">
        <f t="shared" si="21"/>
        <v>14760.395317778122</v>
      </c>
      <c r="AQ25" s="199">
        <f t="shared" si="21"/>
        <v>16939.560161783833</v>
      </c>
      <c r="AR25" s="199">
        <f t="shared" si="21"/>
        <v>16867.599073967591</v>
      </c>
      <c r="AS25" s="199">
        <f t="shared" ref="AS25:BT25" si="22">AS12-AS23</f>
        <v>16794.489535692948</v>
      </c>
      <c r="AT25" s="199">
        <f t="shared" si="22"/>
        <v>16720.208577950747</v>
      </c>
      <c r="AU25" s="199">
        <f t="shared" si="22"/>
        <v>16644.732772351621</v>
      </c>
      <c r="AV25" s="199">
        <f t="shared" si="22"/>
        <v>17603.874108969569</v>
      </c>
      <c r="AW25" s="199">
        <f t="shared" si="22"/>
        <v>17461.426140115269</v>
      </c>
      <c r="AX25" s="199">
        <f t="shared" si="22"/>
        <v>17381.412789837421</v>
      </c>
      <c r="AY25" s="199">
        <f t="shared" si="22"/>
        <v>17300.106097812939</v>
      </c>
      <c r="AZ25" s="199">
        <f t="shared" si="22"/>
        <v>20842.480197206882</v>
      </c>
      <c r="BA25" s="199">
        <f t="shared" si="22"/>
        <v>23008.508703847634</v>
      </c>
      <c r="BB25" s="199">
        <f t="shared" si="22"/>
        <v>22923.164705880132</v>
      </c>
      <c r="BC25" s="199">
        <f t="shared" si="22"/>
        <v>22836.420753212209</v>
      </c>
      <c r="BD25" s="199">
        <f t="shared" si="22"/>
        <v>25246.187784817565</v>
      </c>
      <c r="BE25" s="199">
        <f t="shared" si="22"/>
        <v>27405.751667435077</v>
      </c>
      <c r="BF25" s="199">
        <f t="shared" si="22"/>
        <v>27313.829906924853</v>
      </c>
      <c r="BG25" s="199">
        <f t="shared" si="22"/>
        <v>27220.392790424361</v>
      </c>
      <c r="BH25" s="199">
        <f t="shared" si="22"/>
        <v>30750.410010813765</v>
      </c>
      <c r="BI25" s="199">
        <f t="shared" si="22"/>
        <v>30323.574815039872</v>
      </c>
      <c r="BJ25" s="199">
        <f t="shared" si="22"/>
        <v>33850.407351157257</v>
      </c>
      <c r="BK25" s="199">
        <f t="shared" si="22"/>
        <v>36000.599617216911</v>
      </c>
      <c r="BL25" s="199">
        <f t="shared" si="22"/>
        <v>39524.118807817678</v>
      </c>
      <c r="BM25" s="199">
        <f t="shared" si="22"/>
        <v>41670.931461450382</v>
      </c>
      <c r="BN25" s="199">
        <f t="shared" si="22"/>
        <v>45191.00344737566</v>
      </c>
      <c r="BO25" s="199">
        <f t="shared" si="22"/>
        <v>47334.299952239366</v>
      </c>
      <c r="BP25" s="199">
        <f t="shared" si="22"/>
        <v>49666.460259662097</v>
      </c>
      <c r="BQ25" s="199">
        <f t="shared" si="22"/>
        <v>51805.290865296738</v>
      </c>
      <c r="BR25" s="199">
        <f t="shared" si="22"/>
        <v>34862.548540625867</v>
      </c>
      <c r="BS25" s="199">
        <f t="shared" si="22"/>
        <v>36991.91926740497</v>
      </c>
      <c r="BT25" s="199">
        <f t="shared" si="22"/>
        <v>40494.329719627567</v>
      </c>
      <c r="BU25" s="35"/>
      <c r="BV25" s="200">
        <f>BV12-BV23</f>
        <v>-212953.32333799871</v>
      </c>
      <c r="BW25" s="200">
        <f>BW12-BW23</f>
        <v>14437.472500772448</v>
      </c>
      <c r="BX25" s="200">
        <f>BX12-BX23</f>
        <v>173032.47725496744</v>
      </c>
      <c r="BY25" s="200">
        <f>BY12-BY23</f>
        <v>279690.09154832806</v>
      </c>
      <c r="BZ25" s="200">
        <f>BZ12-BZ23</f>
        <v>487715.48410491436</v>
      </c>
      <c r="CA25" s="35"/>
      <c r="CB25" s="201">
        <f>BV25/BV$7</f>
        <v>-1.0021332862964645</v>
      </c>
      <c r="CC25" s="201">
        <f>BW25/BW$7</f>
        <v>2.8170678050287706E-2</v>
      </c>
      <c r="CD25" s="201">
        <f>BX25/BX$7</f>
        <v>0.23866548586892061</v>
      </c>
      <c r="CE25" s="201">
        <f>BY25/BY$7</f>
        <v>0.30442458944035705</v>
      </c>
      <c r="CF25" s="201">
        <f>BZ25/BZ$7</f>
        <v>0.38252194831757991</v>
      </c>
    </row>
    <row r="26" spans="1:84" ht="15.6">
      <c r="A26" s="188"/>
      <c r="B26" s="202" t="s">
        <v>149</v>
      </c>
      <c r="C26" s="188"/>
      <c r="D26" s="188"/>
      <c r="E26" s="188"/>
      <c r="F26" s="188"/>
      <c r="G26" s="188"/>
      <c r="H26" s="188"/>
      <c r="I26" s="188"/>
      <c r="J26" s="188"/>
      <c r="K26" s="188"/>
      <c r="M26" s="203">
        <f t="shared" ref="M26:AR26" si="23">M25/M$7</f>
        <v>-4.2449862627685846</v>
      </c>
      <c r="N26" s="203">
        <f t="shared" si="23"/>
        <v>-4.251738483236303</v>
      </c>
      <c r="O26" s="203">
        <f t="shared" si="23"/>
        <v>-1.8392960739372519</v>
      </c>
      <c r="P26" s="203">
        <f t="shared" si="23"/>
        <v>-1.6627746427832981</v>
      </c>
      <c r="Q26" s="203">
        <f t="shared" si="23"/>
        <v>-1.6663059828868294</v>
      </c>
      <c r="R26" s="203">
        <f t="shared" si="23"/>
        <v>-0.97149110308645192</v>
      </c>
      <c r="S26" s="203">
        <f t="shared" si="23"/>
        <v>-0.89930565501893156</v>
      </c>
      <c r="T26" s="203">
        <f t="shared" si="23"/>
        <v>-0.90185585699962156</v>
      </c>
      <c r="U26" s="203">
        <f t="shared" si="23"/>
        <v>-0.53333310488834673</v>
      </c>
      <c r="V26" s="203">
        <f t="shared" si="23"/>
        <v>-0.44530344889315182</v>
      </c>
      <c r="W26" s="203">
        <f t="shared" si="23"/>
        <v>-0.44730350740145558</v>
      </c>
      <c r="X26" s="203">
        <f t="shared" si="23"/>
        <v>-0.2434670997626622</v>
      </c>
      <c r="Y26" s="203">
        <f t="shared" si="23"/>
        <v>-0.26128715272246722</v>
      </c>
      <c r="Z26" s="203">
        <f t="shared" si="23"/>
        <v>-0.26301309782976706</v>
      </c>
      <c r="AA26" s="203">
        <f t="shared" si="23"/>
        <v>-0.12397064507035907</v>
      </c>
      <c r="AB26" s="203">
        <f t="shared" si="23"/>
        <v>-6.5452246757838686E-2</v>
      </c>
      <c r="AC26" s="203">
        <f t="shared" si="23"/>
        <v>-6.695615735008284E-2</v>
      </c>
      <c r="AD26" s="203">
        <f t="shared" si="23"/>
        <v>2.4157580264125386E-2</v>
      </c>
      <c r="AE26" s="203">
        <f t="shared" si="23"/>
        <v>7.4257686670164108E-2</v>
      </c>
      <c r="AF26" s="203">
        <f t="shared" si="23"/>
        <v>7.2908929314882256E-2</v>
      </c>
      <c r="AG26" s="203">
        <f t="shared" si="23"/>
        <v>0.1146964682630761</v>
      </c>
      <c r="AH26" s="203">
        <f t="shared" si="23"/>
        <v>0.15846356758411129</v>
      </c>
      <c r="AI26" s="203">
        <f t="shared" si="23"/>
        <v>0.15721182431752562</v>
      </c>
      <c r="AJ26" s="203">
        <f t="shared" si="23"/>
        <v>0.20305854365472603</v>
      </c>
      <c r="AK26" s="203">
        <f t="shared" si="23"/>
        <v>0.20397226390874401</v>
      </c>
      <c r="AL26" s="203">
        <f t="shared" si="23"/>
        <v>0.20280731951866118</v>
      </c>
      <c r="AM26" s="203">
        <f t="shared" si="23"/>
        <v>0.20162424550829547</v>
      </c>
      <c r="AN26" s="203">
        <f t="shared" si="23"/>
        <v>0.2004226792852411</v>
      </c>
      <c r="AO26" s="203">
        <f t="shared" si="23"/>
        <v>0.19920225100524439</v>
      </c>
      <c r="AP26" s="203">
        <f t="shared" si="23"/>
        <v>0.23616632508444996</v>
      </c>
      <c r="AQ26" s="203">
        <f t="shared" si="23"/>
        <v>0.27103296258854132</v>
      </c>
      <c r="AR26" s="203">
        <f t="shared" si="23"/>
        <v>0.26988158518348143</v>
      </c>
      <c r="AS26" s="203">
        <f t="shared" ref="AS26:BX26" si="24">AS25/AS$7</f>
        <v>0.26871183257108716</v>
      </c>
      <c r="AT26" s="203">
        <f t="shared" si="24"/>
        <v>0.26752333724721195</v>
      </c>
      <c r="AU26" s="203">
        <f t="shared" si="24"/>
        <v>0.26631572435762596</v>
      </c>
      <c r="AV26" s="203">
        <f t="shared" si="24"/>
        <v>0.25605635067592097</v>
      </c>
      <c r="AW26" s="203">
        <f t="shared" si="24"/>
        <v>0.25398438021985847</v>
      </c>
      <c r="AX26" s="203">
        <f t="shared" si="24"/>
        <v>0.25282054967036249</v>
      </c>
      <c r="AY26" s="203">
        <f t="shared" si="24"/>
        <v>0.25163790687727911</v>
      </c>
      <c r="AZ26" s="203">
        <f t="shared" si="24"/>
        <v>0.27789973596275841</v>
      </c>
      <c r="BA26" s="203">
        <f t="shared" si="24"/>
        <v>0.30678011605130179</v>
      </c>
      <c r="BB26" s="203">
        <f t="shared" si="24"/>
        <v>0.30564219607840176</v>
      </c>
      <c r="BC26" s="203">
        <f t="shared" si="24"/>
        <v>0.30448561004282948</v>
      </c>
      <c r="BD26" s="203">
        <f t="shared" si="24"/>
        <v>0.31072231119775462</v>
      </c>
      <c r="BE26" s="203">
        <f t="shared" si="24"/>
        <v>0.33730155898381636</v>
      </c>
      <c r="BF26" s="203">
        <f t="shared" si="24"/>
        <v>0.33617021423907512</v>
      </c>
      <c r="BG26" s="203">
        <f t="shared" si="24"/>
        <v>0.33502021895906908</v>
      </c>
      <c r="BH26" s="203">
        <f t="shared" si="24"/>
        <v>0.35143325726644303</v>
      </c>
      <c r="BI26" s="203">
        <f t="shared" si="24"/>
        <v>0.34655514074331284</v>
      </c>
      <c r="BJ26" s="203">
        <f t="shared" si="24"/>
        <v>0.36107101174567741</v>
      </c>
      <c r="BK26" s="203">
        <f t="shared" si="24"/>
        <v>0.38400639591698038</v>
      </c>
      <c r="BL26" s="203">
        <f t="shared" si="24"/>
        <v>0.39524118807817676</v>
      </c>
      <c r="BM26" s="203">
        <f t="shared" si="24"/>
        <v>0.41670931461450383</v>
      </c>
      <c r="BN26" s="203">
        <f t="shared" si="24"/>
        <v>0.42532709126941798</v>
      </c>
      <c r="BO26" s="203">
        <f t="shared" si="24"/>
        <v>0.44549929366813523</v>
      </c>
      <c r="BP26" s="203">
        <f t="shared" si="24"/>
        <v>0.44147964675255197</v>
      </c>
      <c r="BQ26" s="203">
        <f t="shared" si="24"/>
        <v>0.46049147435819321</v>
      </c>
      <c r="BR26" s="203">
        <f t="shared" si="24"/>
        <v>0.29357935613158626</v>
      </c>
      <c r="BS26" s="203">
        <f t="shared" si="24"/>
        <v>0.31151089909393659</v>
      </c>
      <c r="BT26" s="203">
        <f t="shared" si="24"/>
        <v>0.32395463775702055</v>
      </c>
      <c r="BU26" s="35"/>
      <c r="BV26" s="203">
        <f>BV25/BV$7</f>
        <v>-1.0021332862964645</v>
      </c>
      <c r="BW26" s="203">
        <f>BW25/BW$7</f>
        <v>2.8170678050287706E-2</v>
      </c>
      <c r="BX26" s="203">
        <f>BX25/BX$7</f>
        <v>0.23866548586892061</v>
      </c>
      <c r="BY26" s="203">
        <f>BY25/BY$7</f>
        <v>0.30442458944035705</v>
      </c>
      <c r="BZ26" s="203">
        <f>BZ25/BZ$7</f>
        <v>0.38252194831757991</v>
      </c>
      <c r="CA26" s="35"/>
    </row>
    <row r="27" spans="1:84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BU27" s="35"/>
      <c r="BV27" s="140"/>
      <c r="BW27" s="58"/>
      <c r="BX27" s="58"/>
      <c r="BY27" s="58"/>
      <c r="BZ27" s="58"/>
      <c r="CA27" s="35"/>
    </row>
    <row r="28" spans="1:84" ht="15.6">
      <c r="A28" s="188" t="s">
        <v>139</v>
      </c>
      <c r="B28" s="188" t="s">
        <v>150</v>
      </c>
      <c r="C28" s="188"/>
      <c r="D28" s="188"/>
      <c r="E28" s="187"/>
      <c r="F28" s="187"/>
      <c r="G28" s="188"/>
      <c r="H28" s="188"/>
      <c r="I28" s="188"/>
      <c r="J28" s="188"/>
      <c r="K28" s="188"/>
      <c r="BU28" s="35"/>
      <c r="BV28" s="145">
        <f t="shared" ref="BV28:BZ29" si="25">SUMIF($M$3:$BT$3,BV$3,$M28:$BT28)</f>
        <v>0</v>
      </c>
      <c r="BW28" s="145">
        <f t="shared" si="25"/>
        <v>0</v>
      </c>
      <c r="BX28" s="145">
        <f t="shared" si="25"/>
        <v>0</v>
      </c>
      <c r="BY28" s="145">
        <f t="shared" si="25"/>
        <v>0</v>
      </c>
      <c r="BZ28" s="145">
        <f t="shared" si="25"/>
        <v>0</v>
      </c>
      <c r="CA28" s="35"/>
      <c r="CB28" s="189">
        <f t="shared" ref="CB28:CF29" si="26">BV28/BV$7</f>
        <v>0</v>
      </c>
      <c r="CC28" s="189">
        <f t="shared" si="26"/>
        <v>0</v>
      </c>
      <c r="CD28" s="189">
        <f t="shared" si="26"/>
        <v>0</v>
      </c>
      <c r="CE28" s="189">
        <f t="shared" si="26"/>
        <v>0</v>
      </c>
      <c r="CF28" s="189">
        <f t="shared" si="26"/>
        <v>0</v>
      </c>
    </row>
    <row r="29" spans="1:84">
      <c r="A29" s="188" t="s">
        <v>139</v>
      </c>
      <c r="B29" s="188" t="s">
        <v>151</v>
      </c>
      <c r="C29" s="188"/>
      <c r="D29" s="188"/>
      <c r="E29" s="188"/>
      <c r="F29" s="188"/>
      <c r="G29" s="188"/>
      <c r="H29" s="188"/>
      <c r="I29" s="188"/>
      <c r="J29" s="188"/>
      <c r="K29" s="188"/>
      <c r="BU29" s="35"/>
      <c r="BV29" s="145">
        <f t="shared" si="25"/>
        <v>0</v>
      </c>
      <c r="BW29" s="145">
        <f t="shared" si="25"/>
        <v>0</v>
      </c>
      <c r="BX29" s="145">
        <f t="shared" si="25"/>
        <v>0</v>
      </c>
      <c r="BY29" s="145">
        <f t="shared" si="25"/>
        <v>0</v>
      </c>
      <c r="BZ29" s="145">
        <f t="shared" si="25"/>
        <v>0</v>
      </c>
      <c r="CA29" s="35"/>
      <c r="CB29" s="189">
        <f t="shared" si="26"/>
        <v>0</v>
      </c>
      <c r="CC29" s="189">
        <f t="shared" si="26"/>
        <v>0</v>
      </c>
      <c r="CD29" s="189">
        <f t="shared" si="26"/>
        <v>0</v>
      </c>
      <c r="CE29" s="189">
        <f t="shared" si="26"/>
        <v>0</v>
      </c>
      <c r="CF29" s="189">
        <f t="shared" si="26"/>
        <v>0</v>
      </c>
    </row>
    <row r="30" spans="1:84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BU30" s="35"/>
      <c r="BV30" s="58"/>
      <c r="BW30" s="58"/>
      <c r="BX30" s="58"/>
      <c r="BY30" s="58"/>
      <c r="BZ30" s="58"/>
      <c r="CA30" s="35"/>
    </row>
    <row r="31" spans="1:84" ht="15.6">
      <c r="A31" s="197"/>
      <c r="B31" s="211" t="s">
        <v>152</v>
      </c>
      <c r="C31" s="197"/>
      <c r="D31" s="197"/>
      <c r="E31" s="197"/>
      <c r="F31" s="197"/>
      <c r="G31" s="197"/>
      <c r="H31" s="197"/>
      <c r="I31" s="197"/>
      <c r="J31" s="197"/>
      <c r="K31" s="197"/>
      <c r="L31" s="198"/>
      <c r="M31" s="199">
        <f t="shared" ref="M31:AR31" si="27">M25-M28-M29</f>
        <v>-26531.164142303656</v>
      </c>
      <c r="N31" s="199">
        <f t="shared" si="27"/>
        <v>-26573.365520226893</v>
      </c>
      <c r="O31" s="199">
        <f t="shared" si="27"/>
        <v>-22991.200924215649</v>
      </c>
      <c r="P31" s="199">
        <f t="shared" si="27"/>
        <v>-20784.683034791226</v>
      </c>
      <c r="Q31" s="199">
        <f t="shared" si="27"/>
        <v>-20828.824786085366</v>
      </c>
      <c r="R31" s="199">
        <f t="shared" si="27"/>
        <v>-18215.458182870974</v>
      </c>
      <c r="S31" s="199">
        <f t="shared" si="27"/>
        <v>-16861.981031604966</v>
      </c>
      <c r="T31" s="199">
        <f t="shared" si="27"/>
        <v>-16909.797318742905</v>
      </c>
      <c r="U31" s="199">
        <f t="shared" si="27"/>
        <v>-13333.327622208668</v>
      </c>
      <c r="V31" s="199">
        <f t="shared" si="27"/>
        <v>-11132.586222328795</v>
      </c>
      <c r="W31" s="199">
        <f t="shared" si="27"/>
        <v>-11182.587685036389</v>
      </c>
      <c r="X31" s="199">
        <f t="shared" si="27"/>
        <v>-7608.3468675831937</v>
      </c>
      <c r="Y31" s="199">
        <f t="shared" si="27"/>
        <v>-8165.2235225771001</v>
      </c>
      <c r="Z31" s="199">
        <f t="shared" si="27"/>
        <v>-8219.1593071802199</v>
      </c>
      <c r="AA31" s="199">
        <f t="shared" si="27"/>
        <v>-4648.8991901384652</v>
      </c>
      <c r="AB31" s="199">
        <f t="shared" si="27"/>
        <v>-2454.4592534189505</v>
      </c>
      <c r="AC31" s="199">
        <f t="shared" si="27"/>
        <v>-2510.8559006281066</v>
      </c>
      <c r="AD31" s="199">
        <f t="shared" si="27"/>
        <v>1056.8941365554856</v>
      </c>
      <c r="AE31" s="199">
        <f t="shared" si="27"/>
        <v>3248.7737918196799</v>
      </c>
      <c r="AF31" s="199">
        <f t="shared" si="27"/>
        <v>3189.7656575260989</v>
      </c>
      <c r="AG31" s="199">
        <f t="shared" si="27"/>
        <v>5734.8234131538047</v>
      </c>
      <c r="AH31" s="199">
        <f t="shared" si="27"/>
        <v>7923.1783792055649</v>
      </c>
      <c r="AI31" s="199">
        <f t="shared" si="27"/>
        <v>7860.5912158762803</v>
      </c>
      <c r="AJ31" s="199">
        <f t="shared" si="27"/>
        <v>11422.04308057834</v>
      </c>
      <c r="AK31" s="199">
        <f t="shared" si="27"/>
        <v>11473.439844866851</v>
      </c>
      <c r="AL31" s="199">
        <f t="shared" si="27"/>
        <v>11407.911722924691</v>
      </c>
      <c r="AM31" s="199">
        <f t="shared" si="27"/>
        <v>11341.36380984162</v>
      </c>
      <c r="AN31" s="199">
        <f t="shared" si="27"/>
        <v>11273.775709794812</v>
      </c>
      <c r="AO31" s="199">
        <f t="shared" si="27"/>
        <v>11205.126619044997</v>
      </c>
      <c r="AP31" s="199">
        <f t="shared" si="27"/>
        <v>14760.395317778122</v>
      </c>
      <c r="AQ31" s="199">
        <f t="shared" si="27"/>
        <v>16939.560161783833</v>
      </c>
      <c r="AR31" s="199">
        <f t="shared" si="27"/>
        <v>16867.599073967591</v>
      </c>
      <c r="AS31" s="199">
        <f t="shared" ref="AS31:BT31" si="28">AS25-AS28-AS29</f>
        <v>16794.489535692948</v>
      </c>
      <c r="AT31" s="199">
        <f t="shared" si="28"/>
        <v>16720.208577950747</v>
      </c>
      <c r="AU31" s="199">
        <f t="shared" si="28"/>
        <v>16644.732772351621</v>
      </c>
      <c r="AV31" s="199">
        <f t="shared" si="28"/>
        <v>17603.874108969569</v>
      </c>
      <c r="AW31" s="199">
        <f t="shared" si="28"/>
        <v>17461.426140115269</v>
      </c>
      <c r="AX31" s="199">
        <f t="shared" si="28"/>
        <v>17381.412789837421</v>
      </c>
      <c r="AY31" s="199">
        <f t="shared" si="28"/>
        <v>17300.106097812939</v>
      </c>
      <c r="AZ31" s="199">
        <f t="shared" si="28"/>
        <v>20842.480197206882</v>
      </c>
      <c r="BA31" s="199">
        <f t="shared" si="28"/>
        <v>23008.508703847634</v>
      </c>
      <c r="BB31" s="199">
        <f t="shared" si="28"/>
        <v>22923.164705880132</v>
      </c>
      <c r="BC31" s="199">
        <f t="shared" si="28"/>
        <v>22836.420753212209</v>
      </c>
      <c r="BD31" s="199">
        <f t="shared" si="28"/>
        <v>25246.187784817565</v>
      </c>
      <c r="BE31" s="199">
        <f t="shared" si="28"/>
        <v>27405.751667435077</v>
      </c>
      <c r="BF31" s="199">
        <f t="shared" si="28"/>
        <v>27313.829906924853</v>
      </c>
      <c r="BG31" s="199">
        <f t="shared" si="28"/>
        <v>27220.392790424361</v>
      </c>
      <c r="BH31" s="199">
        <f t="shared" si="28"/>
        <v>30750.410010813765</v>
      </c>
      <c r="BI31" s="199">
        <f t="shared" si="28"/>
        <v>30323.574815039872</v>
      </c>
      <c r="BJ31" s="199">
        <f t="shared" si="28"/>
        <v>33850.407351157257</v>
      </c>
      <c r="BK31" s="199">
        <f t="shared" si="28"/>
        <v>36000.599617216911</v>
      </c>
      <c r="BL31" s="199">
        <f t="shared" si="28"/>
        <v>39524.118807817678</v>
      </c>
      <c r="BM31" s="199">
        <f t="shared" si="28"/>
        <v>41670.931461450382</v>
      </c>
      <c r="BN31" s="199">
        <f t="shared" si="28"/>
        <v>45191.00344737566</v>
      </c>
      <c r="BO31" s="199">
        <f t="shared" si="28"/>
        <v>47334.299952239366</v>
      </c>
      <c r="BP31" s="199">
        <f t="shared" si="28"/>
        <v>49666.460259662097</v>
      </c>
      <c r="BQ31" s="199">
        <f t="shared" si="28"/>
        <v>51805.290865296738</v>
      </c>
      <c r="BR31" s="199">
        <f t="shared" si="28"/>
        <v>34862.548540625867</v>
      </c>
      <c r="BS31" s="199">
        <f t="shared" si="28"/>
        <v>36991.91926740497</v>
      </c>
      <c r="BT31" s="199">
        <f t="shared" si="28"/>
        <v>40494.329719627567</v>
      </c>
      <c r="BU31" s="35"/>
      <c r="BV31" s="200">
        <f>BV25-BV28-BV29</f>
        <v>-212953.32333799871</v>
      </c>
      <c r="BW31" s="200">
        <f>BW25-BW28-BW29</f>
        <v>14437.472500772448</v>
      </c>
      <c r="BX31" s="200">
        <f>BX25-BX28-BX29</f>
        <v>173032.47725496744</v>
      </c>
      <c r="BY31" s="200">
        <f>BY25-BY28-BY29</f>
        <v>279690.09154832806</v>
      </c>
      <c r="BZ31" s="200">
        <f>BZ25-BZ28-BZ29</f>
        <v>487715.48410491436</v>
      </c>
      <c r="CA31" s="35"/>
      <c r="CB31" s="201">
        <f>BV31/BV$7</f>
        <v>-1.0021332862964645</v>
      </c>
      <c r="CC31" s="201">
        <f>BW31/BW$7</f>
        <v>2.8170678050287706E-2</v>
      </c>
      <c r="CD31" s="201">
        <f>BX31/BX$7</f>
        <v>0.23866548586892061</v>
      </c>
      <c r="CE31" s="201">
        <f>BY31/BY$7</f>
        <v>0.30442458944035705</v>
      </c>
      <c r="CF31" s="201">
        <f>BZ31/BZ$7</f>
        <v>0.38252194831757991</v>
      </c>
    </row>
    <row r="32" spans="1:84" ht="15.6">
      <c r="A32" s="188"/>
      <c r="B32" s="202" t="s">
        <v>153</v>
      </c>
      <c r="C32" s="188"/>
      <c r="D32" s="188"/>
      <c r="E32" s="188"/>
      <c r="F32" s="188"/>
      <c r="G32" s="188"/>
      <c r="H32" s="188"/>
      <c r="I32" s="188"/>
      <c r="J32" s="188"/>
      <c r="K32" s="188"/>
      <c r="M32" s="203">
        <f t="shared" ref="M32:AR32" si="29">M31/M$7</f>
        <v>-4.2449862627685846</v>
      </c>
      <c r="N32" s="203">
        <f t="shared" si="29"/>
        <v>-4.251738483236303</v>
      </c>
      <c r="O32" s="203">
        <f t="shared" si="29"/>
        <v>-1.8392960739372519</v>
      </c>
      <c r="P32" s="203">
        <f t="shared" si="29"/>
        <v>-1.6627746427832981</v>
      </c>
      <c r="Q32" s="203">
        <f t="shared" si="29"/>
        <v>-1.6663059828868294</v>
      </c>
      <c r="R32" s="203">
        <f t="shared" si="29"/>
        <v>-0.97149110308645192</v>
      </c>
      <c r="S32" s="203">
        <f t="shared" si="29"/>
        <v>-0.89930565501893156</v>
      </c>
      <c r="T32" s="203">
        <f t="shared" si="29"/>
        <v>-0.90185585699962156</v>
      </c>
      <c r="U32" s="203">
        <f t="shared" si="29"/>
        <v>-0.53333310488834673</v>
      </c>
      <c r="V32" s="203">
        <f t="shared" si="29"/>
        <v>-0.44530344889315182</v>
      </c>
      <c r="W32" s="203">
        <f t="shared" si="29"/>
        <v>-0.44730350740145558</v>
      </c>
      <c r="X32" s="203">
        <f t="shared" si="29"/>
        <v>-0.2434670997626622</v>
      </c>
      <c r="Y32" s="203">
        <f t="shared" si="29"/>
        <v>-0.26128715272246722</v>
      </c>
      <c r="Z32" s="203">
        <f t="shared" si="29"/>
        <v>-0.26301309782976706</v>
      </c>
      <c r="AA32" s="203">
        <f t="shared" si="29"/>
        <v>-0.12397064507035907</v>
      </c>
      <c r="AB32" s="203">
        <f t="shared" si="29"/>
        <v>-6.5452246757838686E-2</v>
      </c>
      <c r="AC32" s="203">
        <f t="shared" si="29"/>
        <v>-6.695615735008284E-2</v>
      </c>
      <c r="AD32" s="203">
        <f t="shared" si="29"/>
        <v>2.4157580264125386E-2</v>
      </c>
      <c r="AE32" s="203">
        <f t="shared" si="29"/>
        <v>7.4257686670164108E-2</v>
      </c>
      <c r="AF32" s="203">
        <f t="shared" si="29"/>
        <v>7.2908929314882256E-2</v>
      </c>
      <c r="AG32" s="203">
        <f t="shared" si="29"/>
        <v>0.1146964682630761</v>
      </c>
      <c r="AH32" s="203">
        <f t="shared" si="29"/>
        <v>0.15846356758411129</v>
      </c>
      <c r="AI32" s="203">
        <f t="shared" si="29"/>
        <v>0.15721182431752562</v>
      </c>
      <c r="AJ32" s="203">
        <f t="shared" si="29"/>
        <v>0.20305854365472603</v>
      </c>
      <c r="AK32" s="203">
        <f t="shared" si="29"/>
        <v>0.20397226390874401</v>
      </c>
      <c r="AL32" s="203">
        <f t="shared" si="29"/>
        <v>0.20280731951866118</v>
      </c>
      <c r="AM32" s="203">
        <f t="shared" si="29"/>
        <v>0.20162424550829547</v>
      </c>
      <c r="AN32" s="203">
        <f t="shared" si="29"/>
        <v>0.2004226792852411</v>
      </c>
      <c r="AO32" s="203">
        <f t="shared" si="29"/>
        <v>0.19920225100524439</v>
      </c>
      <c r="AP32" s="203">
        <f t="shared" si="29"/>
        <v>0.23616632508444996</v>
      </c>
      <c r="AQ32" s="203">
        <f t="shared" si="29"/>
        <v>0.27103296258854132</v>
      </c>
      <c r="AR32" s="203">
        <f t="shared" si="29"/>
        <v>0.26988158518348143</v>
      </c>
      <c r="AS32" s="203">
        <f t="shared" ref="AS32:BX32" si="30">AS31/AS$7</f>
        <v>0.26871183257108716</v>
      </c>
      <c r="AT32" s="203">
        <f t="shared" si="30"/>
        <v>0.26752333724721195</v>
      </c>
      <c r="AU32" s="203">
        <f t="shared" si="30"/>
        <v>0.26631572435762596</v>
      </c>
      <c r="AV32" s="203">
        <f t="shared" si="30"/>
        <v>0.25605635067592097</v>
      </c>
      <c r="AW32" s="203">
        <f t="shared" si="30"/>
        <v>0.25398438021985847</v>
      </c>
      <c r="AX32" s="203">
        <f t="shared" si="30"/>
        <v>0.25282054967036249</v>
      </c>
      <c r="AY32" s="203">
        <f t="shared" si="30"/>
        <v>0.25163790687727911</v>
      </c>
      <c r="AZ32" s="203">
        <f t="shared" si="30"/>
        <v>0.27789973596275841</v>
      </c>
      <c r="BA32" s="203">
        <f t="shared" si="30"/>
        <v>0.30678011605130179</v>
      </c>
      <c r="BB32" s="203">
        <f t="shared" si="30"/>
        <v>0.30564219607840176</v>
      </c>
      <c r="BC32" s="203">
        <f t="shared" si="30"/>
        <v>0.30448561004282948</v>
      </c>
      <c r="BD32" s="203">
        <f t="shared" si="30"/>
        <v>0.31072231119775462</v>
      </c>
      <c r="BE32" s="203">
        <f t="shared" si="30"/>
        <v>0.33730155898381636</v>
      </c>
      <c r="BF32" s="203">
        <f t="shared" si="30"/>
        <v>0.33617021423907512</v>
      </c>
      <c r="BG32" s="203">
        <f t="shared" si="30"/>
        <v>0.33502021895906908</v>
      </c>
      <c r="BH32" s="203">
        <f t="shared" si="30"/>
        <v>0.35143325726644303</v>
      </c>
      <c r="BI32" s="203">
        <f t="shared" si="30"/>
        <v>0.34655514074331284</v>
      </c>
      <c r="BJ32" s="203">
        <f t="shared" si="30"/>
        <v>0.36107101174567741</v>
      </c>
      <c r="BK32" s="203">
        <f t="shared" si="30"/>
        <v>0.38400639591698038</v>
      </c>
      <c r="BL32" s="203">
        <f t="shared" si="30"/>
        <v>0.39524118807817676</v>
      </c>
      <c r="BM32" s="203">
        <f t="shared" si="30"/>
        <v>0.41670931461450383</v>
      </c>
      <c r="BN32" s="203">
        <f t="shared" si="30"/>
        <v>0.42532709126941798</v>
      </c>
      <c r="BO32" s="203">
        <f t="shared" si="30"/>
        <v>0.44549929366813523</v>
      </c>
      <c r="BP32" s="203">
        <f t="shared" si="30"/>
        <v>0.44147964675255197</v>
      </c>
      <c r="BQ32" s="203">
        <f t="shared" si="30"/>
        <v>0.46049147435819321</v>
      </c>
      <c r="BR32" s="203">
        <f t="shared" si="30"/>
        <v>0.29357935613158626</v>
      </c>
      <c r="BS32" s="203">
        <f t="shared" si="30"/>
        <v>0.31151089909393659</v>
      </c>
      <c r="BT32" s="203">
        <f t="shared" si="30"/>
        <v>0.32395463775702055</v>
      </c>
      <c r="BU32" s="35"/>
      <c r="BV32" s="203">
        <f>BV31/BV$7</f>
        <v>-1.0021332862964645</v>
      </c>
      <c r="BW32" s="203">
        <f>BW31/BW$7</f>
        <v>2.8170678050287706E-2</v>
      </c>
      <c r="BX32" s="203">
        <f>BX31/BX$7</f>
        <v>0.23866548586892061</v>
      </c>
      <c r="BY32" s="203">
        <f>BY31/BY$7</f>
        <v>0.30442458944035705</v>
      </c>
      <c r="BZ32" s="203">
        <f>BZ31/BZ$7</f>
        <v>0.38252194831757991</v>
      </c>
      <c r="CA32" s="35"/>
    </row>
    <row r="33" spans="1:84" ht="15.6">
      <c r="A33" s="188" t="s">
        <v>139</v>
      </c>
      <c r="B33" s="190" t="s">
        <v>154</v>
      </c>
      <c r="C33" s="188"/>
      <c r="D33" s="188"/>
      <c r="E33" s="188"/>
      <c r="F33" s="68">
        <v>0.25</v>
      </c>
      <c r="G33" s="188"/>
      <c r="H33" s="188"/>
      <c r="I33" s="188"/>
      <c r="J33" s="188"/>
      <c r="K33" s="188"/>
      <c r="BU33" s="35"/>
      <c r="BV33" s="145">
        <f>SUMIF($M$3:$BT$3,BV$3,$M33:$BT33)</f>
        <v>0</v>
      </c>
      <c r="BW33" s="145">
        <f>SUMIF($M$3:$BT$3,BW$3,$M33:$BT33)</f>
        <v>0</v>
      </c>
      <c r="BX33" s="145">
        <f>SUMIF($M$3:$BT$3,BX$3,$M33:$BT33)</f>
        <v>0</v>
      </c>
      <c r="BY33" s="145">
        <f>SUMIF($M$3:$BT$3,BY$3,$M33:$BT33)</f>
        <v>0</v>
      </c>
      <c r="BZ33" s="145">
        <f>SUMIF($M$3:$BT$3,BZ$3,$M33:$BT33)</f>
        <v>0</v>
      </c>
      <c r="CA33" s="35"/>
      <c r="CB33" s="189">
        <f>BV33/BV$7</f>
        <v>0</v>
      </c>
      <c r="CC33" s="189">
        <f>BW33/BW$7</f>
        <v>0</v>
      </c>
      <c r="CD33" s="189">
        <f>BX33/BX$7</f>
        <v>0</v>
      </c>
      <c r="CE33" s="189">
        <f>BY33/BY$7</f>
        <v>0</v>
      </c>
      <c r="CF33" s="189">
        <f>BZ33/BZ$7</f>
        <v>0</v>
      </c>
    </row>
    <row r="34" spans="1:84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BU34" s="35"/>
      <c r="BV34" s="58"/>
      <c r="BW34" s="58"/>
      <c r="BX34" s="58"/>
      <c r="BY34" s="58"/>
      <c r="BZ34" s="58"/>
      <c r="CA34" s="35"/>
    </row>
    <row r="35" spans="1:84" ht="15.6">
      <c r="A35" s="197"/>
      <c r="B35" s="211" t="s">
        <v>155</v>
      </c>
      <c r="C35" s="197"/>
      <c r="D35" s="197"/>
      <c r="E35" s="197"/>
      <c r="F35" s="197"/>
      <c r="G35" s="197"/>
      <c r="H35" s="197"/>
      <c r="I35" s="197"/>
      <c r="J35" s="197"/>
      <c r="K35" s="197"/>
      <c r="L35" s="198"/>
      <c r="M35" s="199">
        <f t="shared" ref="M35:AR35" si="31">M31-M33</f>
        <v>-26531.164142303656</v>
      </c>
      <c r="N35" s="199">
        <f t="shared" si="31"/>
        <v>-26573.365520226893</v>
      </c>
      <c r="O35" s="199">
        <f t="shared" si="31"/>
        <v>-22991.200924215649</v>
      </c>
      <c r="P35" s="199">
        <f t="shared" si="31"/>
        <v>-20784.683034791226</v>
      </c>
      <c r="Q35" s="199">
        <f t="shared" si="31"/>
        <v>-20828.824786085366</v>
      </c>
      <c r="R35" s="199">
        <f t="shared" si="31"/>
        <v>-18215.458182870974</v>
      </c>
      <c r="S35" s="199">
        <f t="shared" si="31"/>
        <v>-16861.981031604966</v>
      </c>
      <c r="T35" s="199">
        <f t="shared" si="31"/>
        <v>-16909.797318742905</v>
      </c>
      <c r="U35" s="199">
        <f t="shared" si="31"/>
        <v>-13333.327622208668</v>
      </c>
      <c r="V35" s="199">
        <f t="shared" si="31"/>
        <v>-11132.586222328795</v>
      </c>
      <c r="W35" s="199">
        <f t="shared" si="31"/>
        <v>-11182.587685036389</v>
      </c>
      <c r="X35" s="199">
        <f t="shared" si="31"/>
        <v>-7608.3468675831937</v>
      </c>
      <c r="Y35" s="199">
        <f t="shared" si="31"/>
        <v>-8165.2235225771001</v>
      </c>
      <c r="Z35" s="199">
        <f t="shared" si="31"/>
        <v>-8219.1593071802199</v>
      </c>
      <c r="AA35" s="199">
        <f t="shared" si="31"/>
        <v>-4648.8991901384652</v>
      </c>
      <c r="AB35" s="199">
        <f t="shared" si="31"/>
        <v>-2454.4592534189505</v>
      </c>
      <c r="AC35" s="199">
        <f t="shared" si="31"/>
        <v>-2510.8559006281066</v>
      </c>
      <c r="AD35" s="199">
        <f t="shared" si="31"/>
        <v>1056.8941365554856</v>
      </c>
      <c r="AE35" s="199">
        <f t="shared" si="31"/>
        <v>3248.7737918196799</v>
      </c>
      <c r="AF35" s="199">
        <f t="shared" si="31"/>
        <v>3189.7656575260989</v>
      </c>
      <c r="AG35" s="199">
        <f t="shared" si="31"/>
        <v>5734.8234131538047</v>
      </c>
      <c r="AH35" s="199">
        <f t="shared" si="31"/>
        <v>7923.1783792055649</v>
      </c>
      <c r="AI35" s="199">
        <f t="shared" si="31"/>
        <v>7860.5912158762803</v>
      </c>
      <c r="AJ35" s="199">
        <f t="shared" si="31"/>
        <v>11422.04308057834</v>
      </c>
      <c r="AK35" s="199">
        <f t="shared" si="31"/>
        <v>11473.439844866851</v>
      </c>
      <c r="AL35" s="199">
        <f t="shared" si="31"/>
        <v>11407.911722924691</v>
      </c>
      <c r="AM35" s="199">
        <f t="shared" si="31"/>
        <v>11341.36380984162</v>
      </c>
      <c r="AN35" s="199">
        <f t="shared" si="31"/>
        <v>11273.775709794812</v>
      </c>
      <c r="AO35" s="199">
        <f t="shared" si="31"/>
        <v>11205.126619044997</v>
      </c>
      <c r="AP35" s="199">
        <f t="shared" si="31"/>
        <v>14760.395317778122</v>
      </c>
      <c r="AQ35" s="199">
        <f t="shared" si="31"/>
        <v>16939.560161783833</v>
      </c>
      <c r="AR35" s="199">
        <f t="shared" si="31"/>
        <v>16867.599073967591</v>
      </c>
      <c r="AS35" s="199">
        <f t="shared" ref="AS35:BT35" si="32">AS31-AS33</f>
        <v>16794.489535692948</v>
      </c>
      <c r="AT35" s="199">
        <f t="shared" si="32"/>
        <v>16720.208577950747</v>
      </c>
      <c r="AU35" s="199">
        <f t="shared" si="32"/>
        <v>16644.732772351621</v>
      </c>
      <c r="AV35" s="199">
        <f t="shared" si="32"/>
        <v>17603.874108969569</v>
      </c>
      <c r="AW35" s="199">
        <f t="shared" si="32"/>
        <v>17461.426140115269</v>
      </c>
      <c r="AX35" s="199">
        <f t="shared" si="32"/>
        <v>17381.412789837421</v>
      </c>
      <c r="AY35" s="199">
        <f t="shared" si="32"/>
        <v>17300.106097812939</v>
      </c>
      <c r="AZ35" s="199">
        <f t="shared" si="32"/>
        <v>20842.480197206882</v>
      </c>
      <c r="BA35" s="199">
        <f t="shared" si="32"/>
        <v>23008.508703847634</v>
      </c>
      <c r="BB35" s="199">
        <f t="shared" si="32"/>
        <v>22923.164705880132</v>
      </c>
      <c r="BC35" s="199">
        <f t="shared" si="32"/>
        <v>22836.420753212209</v>
      </c>
      <c r="BD35" s="199">
        <f t="shared" si="32"/>
        <v>25246.187784817565</v>
      </c>
      <c r="BE35" s="199">
        <f t="shared" si="32"/>
        <v>27405.751667435077</v>
      </c>
      <c r="BF35" s="199">
        <f t="shared" si="32"/>
        <v>27313.829906924853</v>
      </c>
      <c r="BG35" s="199">
        <f t="shared" si="32"/>
        <v>27220.392790424361</v>
      </c>
      <c r="BH35" s="199">
        <f t="shared" si="32"/>
        <v>30750.410010813765</v>
      </c>
      <c r="BI35" s="199">
        <f t="shared" si="32"/>
        <v>30323.574815039872</v>
      </c>
      <c r="BJ35" s="199">
        <f t="shared" si="32"/>
        <v>33850.407351157257</v>
      </c>
      <c r="BK35" s="199">
        <f t="shared" si="32"/>
        <v>36000.599617216911</v>
      </c>
      <c r="BL35" s="199">
        <f t="shared" si="32"/>
        <v>39524.118807817678</v>
      </c>
      <c r="BM35" s="199">
        <f t="shared" si="32"/>
        <v>41670.931461450382</v>
      </c>
      <c r="BN35" s="199">
        <f t="shared" si="32"/>
        <v>45191.00344737566</v>
      </c>
      <c r="BO35" s="199">
        <f t="shared" si="32"/>
        <v>47334.299952239366</v>
      </c>
      <c r="BP35" s="199">
        <f t="shared" si="32"/>
        <v>49666.460259662097</v>
      </c>
      <c r="BQ35" s="199">
        <f t="shared" si="32"/>
        <v>51805.290865296738</v>
      </c>
      <c r="BR35" s="199">
        <f t="shared" si="32"/>
        <v>34862.548540625867</v>
      </c>
      <c r="BS35" s="199">
        <f t="shared" si="32"/>
        <v>36991.91926740497</v>
      </c>
      <c r="BT35" s="199">
        <f t="shared" si="32"/>
        <v>40494.329719627567</v>
      </c>
      <c r="BU35" s="35"/>
      <c r="BV35" s="200">
        <f>BV31-BV33</f>
        <v>-212953.32333799871</v>
      </c>
      <c r="BW35" s="200">
        <f>BW31-BW33</f>
        <v>14437.472500772448</v>
      </c>
      <c r="BX35" s="200">
        <f>BX31-BX33</f>
        <v>173032.47725496744</v>
      </c>
      <c r="BY35" s="200">
        <f>BY31-BY33</f>
        <v>279690.09154832806</v>
      </c>
      <c r="BZ35" s="200">
        <f>BZ31-BZ33</f>
        <v>487715.48410491436</v>
      </c>
      <c r="CA35" s="35"/>
      <c r="CB35" s="201">
        <f>BV35/BV$7</f>
        <v>-1.0021332862964645</v>
      </c>
      <c r="CC35" s="201">
        <f>BW35/BW$7</f>
        <v>2.8170678050287706E-2</v>
      </c>
      <c r="CD35" s="201">
        <f>BX35/BX$7</f>
        <v>0.23866548586892061</v>
      </c>
      <c r="CE35" s="201">
        <f>BY35/BY$7</f>
        <v>0.30442458944035705</v>
      </c>
      <c r="CF35" s="201">
        <f>BZ35/BZ$7</f>
        <v>0.38252194831757991</v>
      </c>
    </row>
    <row r="36" spans="1:84" ht="15.6">
      <c r="A36" s="188"/>
      <c r="B36" s="212" t="s">
        <v>156</v>
      </c>
      <c r="C36" s="213"/>
      <c r="D36" s="214"/>
      <c r="E36" s="214"/>
      <c r="F36" s="214"/>
      <c r="G36" s="188"/>
      <c r="H36" s="188"/>
      <c r="I36" s="188"/>
      <c r="J36" s="188"/>
      <c r="K36" s="188"/>
      <c r="M36" s="203">
        <f t="shared" ref="M36:AR36" si="33">M35/M$7</f>
        <v>-4.2449862627685846</v>
      </c>
      <c r="N36" s="203">
        <f t="shared" si="33"/>
        <v>-4.251738483236303</v>
      </c>
      <c r="O36" s="203">
        <f t="shared" si="33"/>
        <v>-1.8392960739372519</v>
      </c>
      <c r="P36" s="203">
        <f t="shared" si="33"/>
        <v>-1.6627746427832981</v>
      </c>
      <c r="Q36" s="203">
        <f t="shared" si="33"/>
        <v>-1.6663059828868294</v>
      </c>
      <c r="R36" s="203">
        <f t="shared" si="33"/>
        <v>-0.97149110308645192</v>
      </c>
      <c r="S36" s="203">
        <f t="shared" si="33"/>
        <v>-0.89930565501893156</v>
      </c>
      <c r="T36" s="203">
        <f t="shared" si="33"/>
        <v>-0.90185585699962156</v>
      </c>
      <c r="U36" s="203">
        <f t="shared" si="33"/>
        <v>-0.53333310488834673</v>
      </c>
      <c r="V36" s="203">
        <f t="shared" si="33"/>
        <v>-0.44530344889315182</v>
      </c>
      <c r="W36" s="203">
        <f t="shared" si="33"/>
        <v>-0.44730350740145558</v>
      </c>
      <c r="X36" s="203">
        <f t="shared" si="33"/>
        <v>-0.2434670997626622</v>
      </c>
      <c r="Y36" s="203">
        <f t="shared" si="33"/>
        <v>-0.26128715272246722</v>
      </c>
      <c r="Z36" s="203">
        <f t="shared" si="33"/>
        <v>-0.26301309782976706</v>
      </c>
      <c r="AA36" s="203">
        <f t="shared" si="33"/>
        <v>-0.12397064507035907</v>
      </c>
      <c r="AB36" s="203">
        <f t="shared" si="33"/>
        <v>-6.5452246757838686E-2</v>
      </c>
      <c r="AC36" s="203">
        <f t="shared" si="33"/>
        <v>-6.695615735008284E-2</v>
      </c>
      <c r="AD36" s="203">
        <f t="shared" si="33"/>
        <v>2.4157580264125386E-2</v>
      </c>
      <c r="AE36" s="203">
        <f t="shared" si="33"/>
        <v>7.4257686670164108E-2</v>
      </c>
      <c r="AF36" s="203">
        <f t="shared" si="33"/>
        <v>7.2908929314882256E-2</v>
      </c>
      <c r="AG36" s="203">
        <f t="shared" si="33"/>
        <v>0.1146964682630761</v>
      </c>
      <c r="AH36" s="203">
        <f t="shared" si="33"/>
        <v>0.15846356758411129</v>
      </c>
      <c r="AI36" s="203">
        <f t="shared" si="33"/>
        <v>0.15721182431752562</v>
      </c>
      <c r="AJ36" s="203">
        <f t="shared" si="33"/>
        <v>0.20305854365472603</v>
      </c>
      <c r="AK36" s="203">
        <f t="shared" si="33"/>
        <v>0.20397226390874401</v>
      </c>
      <c r="AL36" s="203">
        <f t="shared" si="33"/>
        <v>0.20280731951866118</v>
      </c>
      <c r="AM36" s="203">
        <f t="shared" si="33"/>
        <v>0.20162424550829547</v>
      </c>
      <c r="AN36" s="203">
        <f t="shared" si="33"/>
        <v>0.2004226792852411</v>
      </c>
      <c r="AO36" s="203">
        <f t="shared" si="33"/>
        <v>0.19920225100524439</v>
      </c>
      <c r="AP36" s="203">
        <f t="shared" si="33"/>
        <v>0.23616632508444996</v>
      </c>
      <c r="AQ36" s="203">
        <f t="shared" si="33"/>
        <v>0.27103296258854132</v>
      </c>
      <c r="AR36" s="203">
        <f t="shared" si="33"/>
        <v>0.26988158518348143</v>
      </c>
      <c r="AS36" s="203">
        <f t="shared" ref="AS36:BX36" si="34">AS35/AS$7</f>
        <v>0.26871183257108716</v>
      </c>
      <c r="AT36" s="203">
        <f t="shared" si="34"/>
        <v>0.26752333724721195</v>
      </c>
      <c r="AU36" s="203">
        <f t="shared" si="34"/>
        <v>0.26631572435762596</v>
      </c>
      <c r="AV36" s="203">
        <f t="shared" si="34"/>
        <v>0.25605635067592097</v>
      </c>
      <c r="AW36" s="203">
        <f t="shared" si="34"/>
        <v>0.25398438021985847</v>
      </c>
      <c r="AX36" s="203">
        <f t="shared" si="34"/>
        <v>0.25282054967036249</v>
      </c>
      <c r="AY36" s="203">
        <f t="shared" si="34"/>
        <v>0.25163790687727911</v>
      </c>
      <c r="AZ36" s="203">
        <f t="shared" si="34"/>
        <v>0.27789973596275841</v>
      </c>
      <c r="BA36" s="203">
        <f t="shared" si="34"/>
        <v>0.30678011605130179</v>
      </c>
      <c r="BB36" s="203">
        <f t="shared" si="34"/>
        <v>0.30564219607840176</v>
      </c>
      <c r="BC36" s="203">
        <f t="shared" si="34"/>
        <v>0.30448561004282948</v>
      </c>
      <c r="BD36" s="203">
        <f t="shared" si="34"/>
        <v>0.31072231119775462</v>
      </c>
      <c r="BE36" s="203">
        <f t="shared" si="34"/>
        <v>0.33730155898381636</v>
      </c>
      <c r="BF36" s="203">
        <f t="shared" si="34"/>
        <v>0.33617021423907512</v>
      </c>
      <c r="BG36" s="203">
        <f t="shared" si="34"/>
        <v>0.33502021895906908</v>
      </c>
      <c r="BH36" s="203">
        <f t="shared" si="34"/>
        <v>0.35143325726644303</v>
      </c>
      <c r="BI36" s="203">
        <f t="shared" si="34"/>
        <v>0.34655514074331284</v>
      </c>
      <c r="BJ36" s="203">
        <f t="shared" si="34"/>
        <v>0.36107101174567741</v>
      </c>
      <c r="BK36" s="203">
        <f t="shared" si="34"/>
        <v>0.38400639591698038</v>
      </c>
      <c r="BL36" s="203">
        <f t="shared" si="34"/>
        <v>0.39524118807817676</v>
      </c>
      <c r="BM36" s="203">
        <f t="shared" si="34"/>
        <v>0.41670931461450383</v>
      </c>
      <c r="BN36" s="203">
        <f t="shared" si="34"/>
        <v>0.42532709126941798</v>
      </c>
      <c r="BO36" s="203">
        <f t="shared" si="34"/>
        <v>0.44549929366813523</v>
      </c>
      <c r="BP36" s="203">
        <f t="shared" si="34"/>
        <v>0.44147964675255197</v>
      </c>
      <c r="BQ36" s="203">
        <f t="shared" si="34"/>
        <v>0.46049147435819321</v>
      </c>
      <c r="BR36" s="203">
        <f t="shared" si="34"/>
        <v>0.29357935613158626</v>
      </c>
      <c r="BS36" s="203">
        <f t="shared" si="34"/>
        <v>0.31151089909393659</v>
      </c>
      <c r="BT36" s="203">
        <f t="shared" si="34"/>
        <v>0.32395463775702055</v>
      </c>
      <c r="BU36" s="35"/>
      <c r="BV36" s="203">
        <f>BV35/BV$7</f>
        <v>-1.0021332862964645</v>
      </c>
      <c r="BW36" s="203">
        <f>BW35/BW$7</f>
        <v>2.8170678050287706E-2</v>
      </c>
      <c r="BX36" s="203">
        <f>BX35/BX$7</f>
        <v>0.23866548586892061</v>
      </c>
      <c r="BY36" s="203">
        <f>BY35/BY$7</f>
        <v>0.30442458944035705</v>
      </c>
      <c r="BZ36" s="203">
        <f>BZ35/BZ$7</f>
        <v>0.38252194831757991</v>
      </c>
      <c r="CA36" s="35"/>
    </row>
    <row r="37" spans="1:84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</row>
    <row r="38" spans="1:84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</row>
    <row r="39" spans="1:84">
      <c r="A39" s="188" t="s">
        <v>157</v>
      </c>
      <c r="B39" s="188"/>
      <c r="C39" s="188"/>
      <c r="D39" s="188"/>
      <c r="E39" s="188"/>
      <c r="F39" s="188"/>
      <c r="G39" s="188"/>
      <c r="H39" s="188"/>
      <c r="I39" s="188"/>
      <c r="J39" s="188"/>
      <c r="K39" s="188"/>
    </row>
    <row r="40" spans="1:84">
      <c r="A40" s="188" t="s">
        <v>158</v>
      </c>
      <c r="B40" s="188"/>
      <c r="C40" s="188"/>
      <c r="D40" s="188"/>
      <c r="E40" s="188"/>
      <c r="F40" s="188"/>
      <c r="G40" s="188"/>
      <c r="H40" s="188"/>
      <c r="I40" s="188"/>
      <c r="J40" s="188"/>
      <c r="K40" s="188"/>
    </row>
    <row r="41" spans="1:84">
      <c r="A41" s="188" t="s">
        <v>159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</row>
  </sheetData>
  <mergeCells count="3">
    <mergeCell ref="M2:BT2"/>
    <mergeCell ref="BV2:BZ2"/>
    <mergeCell ref="CB2:CF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8"/>
  <sheetViews>
    <sheetView showGridLines="0" zoomScaleNormal="100" workbookViewId="0">
      <pane xSplit="12" ySplit="4" topLeftCell="BS6" activePane="bottomRight" state="frozen"/>
      <selection pane="topRight" activeCell="BS1" sqref="BS1"/>
      <selection pane="bottomLeft" activeCell="A6" sqref="A6"/>
      <selection pane="bottomRight" activeCell="BS33" sqref="BS33"/>
    </sheetView>
  </sheetViews>
  <sheetFormatPr defaultColWidth="11" defaultRowHeight="15"/>
  <cols>
    <col min="2" max="12" width="2" customWidth="1"/>
    <col min="13" max="13" width="13" customWidth="1"/>
    <col min="14" max="22" width="13.81640625" customWidth="1"/>
    <col min="23" max="52" width="15.26953125" customWidth="1"/>
    <col min="53" max="72" width="16.453125" customWidth="1"/>
    <col min="74" max="76" width="15.1796875" customWidth="1"/>
    <col min="77" max="78" width="16.26953125" customWidth="1"/>
  </cols>
  <sheetData>
    <row r="1" spans="1:78" ht="21" customHeight="1">
      <c r="A1" s="24" t="s">
        <v>160</v>
      </c>
      <c r="B1" s="24"/>
      <c r="C1" s="25"/>
      <c r="D1" s="26"/>
      <c r="E1" s="26"/>
      <c r="F1" s="26"/>
      <c r="G1" s="26"/>
      <c r="H1" s="26"/>
      <c r="I1" s="26"/>
      <c r="J1" s="27"/>
      <c r="K1" s="26"/>
      <c r="L1" s="26"/>
      <c r="M1" s="28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1:78" ht="15.75" customHeight="1">
      <c r="A2" s="30" t="s">
        <v>19</v>
      </c>
      <c r="B2" s="30"/>
      <c r="C2" s="25"/>
      <c r="D2" s="26"/>
      <c r="E2" s="26"/>
      <c r="F2" s="26"/>
      <c r="G2" s="26"/>
      <c r="H2" s="26"/>
      <c r="I2" s="26"/>
      <c r="J2" s="27"/>
      <c r="K2" s="26"/>
      <c r="L2" s="26"/>
      <c r="M2" s="3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26"/>
      <c r="BV2" s="3" t="s">
        <v>21</v>
      </c>
      <c r="BW2" s="3"/>
      <c r="BX2" s="3"/>
      <c r="BY2" s="3"/>
      <c r="BZ2" s="3"/>
    </row>
    <row r="3" spans="1:78" ht="15.6">
      <c r="A3" s="31" t="s">
        <v>22</v>
      </c>
      <c r="B3" s="32"/>
      <c r="C3" s="32"/>
      <c r="D3" s="33"/>
      <c r="E3" s="33"/>
      <c r="F3" s="33"/>
      <c r="G3" s="33"/>
      <c r="H3" s="33"/>
      <c r="I3" s="33"/>
      <c r="J3" s="26"/>
      <c r="K3" s="26"/>
      <c r="L3" s="26"/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f>X3+1</f>
        <v>2</v>
      </c>
      <c r="Z3" s="34">
        <f t="shared" ref="Z3:AJ3" si="0">Y3</f>
        <v>2</v>
      </c>
      <c r="AA3" s="34">
        <f t="shared" si="0"/>
        <v>2</v>
      </c>
      <c r="AB3" s="34">
        <f t="shared" si="0"/>
        <v>2</v>
      </c>
      <c r="AC3" s="34">
        <f t="shared" si="0"/>
        <v>2</v>
      </c>
      <c r="AD3" s="34">
        <f t="shared" si="0"/>
        <v>2</v>
      </c>
      <c r="AE3" s="34">
        <f t="shared" si="0"/>
        <v>2</v>
      </c>
      <c r="AF3" s="34">
        <f t="shared" si="0"/>
        <v>2</v>
      </c>
      <c r="AG3" s="34">
        <f t="shared" si="0"/>
        <v>2</v>
      </c>
      <c r="AH3" s="34">
        <f t="shared" si="0"/>
        <v>2</v>
      </c>
      <c r="AI3" s="34">
        <f t="shared" si="0"/>
        <v>2</v>
      </c>
      <c r="AJ3" s="34">
        <f t="shared" si="0"/>
        <v>2</v>
      </c>
      <c r="AK3" s="34">
        <v>3</v>
      </c>
      <c r="AL3" s="34">
        <v>3</v>
      </c>
      <c r="AM3" s="34">
        <v>3</v>
      </c>
      <c r="AN3" s="34">
        <v>3</v>
      </c>
      <c r="AO3" s="34">
        <v>3</v>
      </c>
      <c r="AP3" s="34">
        <v>3</v>
      </c>
      <c r="AQ3" s="34">
        <v>3</v>
      </c>
      <c r="AR3" s="34">
        <v>3</v>
      </c>
      <c r="AS3" s="34">
        <v>3</v>
      </c>
      <c r="AT3" s="34">
        <v>3</v>
      </c>
      <c r="AU3" s="34">
        <v>3</v>
      </c>
      <c r="AV3" s="34">
        <v>3</v>
      </c>
      <c r="AW3" s="34">
        <v>4</v>
      </c>
      <c r="AX3" s="34">
        <v>4</v>
      </c>
      <c r="AY3" s="34">
        <v>4</v>
      </c>
      <c r="AZ3" s="34">
        <v>4</v>
      </c>
      <c r="BA3" s="34">
        <v>4</v>
      </c>
      <c r="BB3" s="34">
        <v>4</v>
      </c>
      <c r="BC3" s="34">
        <v>4</v>
      </c>
      <c r="BD3" s="34">
        <v>4</v>
      </c>
      <c r="BE3" s="34">
        <v>4</v>
      </c>
      <c r="BF3" s="34">
        <v>4</v>
      </c>
      <c r="BG3" s="34">
        <v>4</v>
      </c>
      <c r="BH3" s="34">
        <v>4</v>
      </c>
      <c r="BI3" s="34">
        <v>5</v>
      </c>
      <c r="BJ3" s="34">
        <v>5</v>
      </c>
      <c r="BK3" s="34">
        <v>5</v>
      </c>
      <c r="BL3" s="34">
        <v>5</v>
      </c>
      <c r="BM3" s="34">
        <v>5</v>
      </c>
      <c r="BN3" s="34">
        <v>5</v>
      </c>
      <c r="BO3" s="34">
        <v>5</v>
      </c>
      <c r="BP3" s="34">
        <v>5</v>
      </c>
      <c r="BQ3" s="34">
        <v>5</v>
      </c>
      <c r="BR3" s="34">
        <v>5</v>
      </c>
      <c r="BS3" s="34">
        <v>5</v>
      </c>
      <c r="BT3" s="34">
        <v>5</v>
      </c>
      <c r="BU3" s="35"/>
      <c r="BV3" s="36">
        <v>1</v>
      </c>
      <c r="BW3" s="36">
        <v>2</v>
      </c>
      <c r="BX3" s="36">
        <v>3</v>
      </c>
      <c r="BY3" s="36">
        <v>4</v>
      </c>
      <c r="BZ3" s="36">
        <v>5</v>
      </c>
    </row>
    <row r="4" spans="1:78" ht="15.6">
      <c r="A4" s="37" t="s">
        <v>23</v>
      </c>
      <c r="B4" s="113"/>
      <c r="C4" s="32"/>
      <c r="D4" s="33"/>
      <c r="E4" s="26"/>
      <c r="F4" s="26"/>
      <c r="G4" s="26"/>
      <c r="H4" s="26"/>
      <c r="I4" s="26"/>
      <c r="J4" s="26"/>
      <c r="K4" s="26"/>
      <c r="L4" s="26"/>
      <c r="M4" s="39">
        <v>1</v>
      </c>
      <c r="N4" s="39">
        <f t="shared" ref="N4:X4" si="1">M4+1</f>
        <v>2</v>
      </c>
      <c r="O4" s="39">
        <f t="shared" si="1"/>
        <v>3</v>
      </c>
      <c r="P4" s="39">
        <f t="shared" si="1"/>
        <v>4</v>
      </c>
      <c r="Q4" s="39">
        <f t="shared" si="1"/>
        <v>5</v>
      </c>
      <c r="R4" s="39">
        <f t="shared" si="1"/>
        <v>6</v>
      </c>
      <c r="S4" s="39">
        <f t="shared" si="1"/>
        <v>7</v>
      </c>
      <c r="T4" s="39">
        <f t="shared" si="1"/>
        <v>8</v>
      </c>
      <c r="U4" s="39">
        <f t="shared" si="1"/>
        <v>9</v>
      </c>
      <c r="V4" s="39">
        <f t="shared" si="1"/>
        <v>10</v>
      </c>
      <c r="W4" s="39">
        <f t="shared" si="1"/>
        <v>11</v>
      </c>
      <c r="X4" s="39">
        <f t="shared" si="1"/>
        <v>12</v>
      </c>
      <c r="Y4" s="39">
        <f>X4+1</f>
        <v>13</v>
      </c>
      <c r="Z4" s="39">
        <f t="shared" ref="Z4:BT4" si="2">Y4+1</f>
        <v>14</v>
      </c>
      <c r="AA4" s="39">
        <f t="shared" si="2"/>
        <v>15</v>
      </c>
      <c r="AB4" s="39">
        <f t="shared" si="2"/>
        <v>16</v>
      </c>
      <c r="AC4" s="39">
        <f t="shared" si="2"/>
        <v>17</v>
      </c>
      <c r="AD4" s="39">
        <f t="shared" si="2"/>
        <v>18</v>
      </c>
      <c r="AE4" s="39">
        <f t="shared" si="2"/>
        <v>19</v>
      </c>
      <c r="AF4" s="39">
        <f t="shared" si="2"/>
        <v>20</v>
      </c>
      <c r="AG4" s="39">
        <f t="shared" si="2"/>
        <v>21</v>
      </c>
      <c r="AH4" s="39">
        <f t="shared" si="2"/>
        <v>22</v>
      </c>
      <c r="AI4" s="39">
        <f t="shared" si="2"/>
        <v>23</v>
      </c>
      <c r="AJ4" s="39">
        <f t="shared" si="2"/>
        <v>24</v>
      </c>
      <c r="AK4" s="39">
        <f t="shared" si="2"/>
        <v>25</v>
      </c>
      <c r="AL4" s="39">
        <f t="shared" si="2"/>
        <v>26</v>
      </c>
      <c r="AM4" s="39">
        <f t="shared" si="2"/>
        <v>27</v>
      </c>
      <c r="AN4" s="39">
        <f t="shared" si="2"/>
        <v>28</v>
      </c>
      <c r="AO4" s="39">
        <f t="shared" si="2"/>
        <v>29</v>
      </c>
      <c r="AP4" s="39">
        <f t="shared" si="2"/>
        <v>30</v>
      </c>
      <c r="AQ4" s="39">
        <f t="shared" si="2"/>
        <v>31</v>
      </c>
      <c r="AR4" s="39">
        <f t="shared" si="2"/>
        <v>32</v>
      </c>
      <c r="AS4" s="39">
        <f t="shared" si="2"/>
        <v>33</v>
      </c>
      <c r="AT4" s="39">
        <f t="shared" si="2"/>
        <v>34</v>
      </c>
      <c r="AU4" s="39">
        <f t="shared" si="2"/>
        <v>35</v>
      </c>
      <c r="AV4" s="39">
        <f t="shared" si="2"/>
        <v>36</v>
      </c>
      <c r="AW4" s="39">
        <f t="shared" si="2"/>
        <v>37</v>
      </c>
      <c r="AX4" s="39">
        <f t="shared" si="2"/>
        <v>38</v>
      </c>
      <c r="AY4" s="39">
        <f t="shared" si="2"/>
        <v>39</v>
      </c>
      <c r="AZ4" s="39">
        <f t="shared" si="2"/>
        <v>40</v>
      </c>
      <c r="BA4" s="39">
        <f t="shared" si="2"/>
        <v>41</v>
      </c>
      <c r="BB4" s="39">
        <f t="shared" si="2"/>
        <v>42</v>
      </c>
      <c r="BC4" s="39">
        <f t="shared" si="2"/>
        <v>43</v>
      </c>
      <c r="BD4" s="39">
        <f t="shared" si="2"/>
        <v>44</v>
      </c>
      <c r="BE4" s="39">
        <f t="shared" si="2"/>
        <v>45</v>
      </c>
      <c r="BF4" s="39">
        <f t="shared" si="2"/>
        <v>46</v>
      </c>
      <c r="BG4" s="39">
        <f t="shared" si="2"/>
        <v>47</v>
      </c>
      <c r="BH4" s="39">
        <f t="shared" si="2"/>
        <v>48</v>
      </c>
      <c r="BI4" s="39">
        <f t="shared" si="2"/>
        <v>49</v>
      </c>
      <c r="BJ4" s="39">
        <f t="shared" si="2"/>
        <v>50</v>
      </c>
      <c r="BK4" s="39">
        <f t="shared" si="2"/>
        <v>51</v>
      </c>
      <c r="BL4" s="39">
        <f t="shared" si="2"/>
        <v>52</v>
      </c>
      <c r="BM4" s="39">
        <f t="shared" si="2"/>
        <v>53</v>
      </c>
      <c r="BN4" s="39">
        <f t="shared" si="2"/>
        <v>54</v>
      </c>
      <c r="BO4" s="39">
        <f t="shared" si="2"/>
        <v>55</v>
      </c>
      <c r="BP4" s="39">
        <f t="shared" si="2"/>
        <v>56</v>
      </c>
      <c r="BQ4" s="39">
        <f t="shared" si="2"/>
        <v>57</v>
      </c>
      <c r="BR4" s="39">
        <f t="shared" si="2"/>
        <v>58</v>
      </c>
      <c r="BS4" s="39">
        <f t="shared" si="2"/>
        <v>59</v>
      </c>
      <c r="BT4" s="39">
        <f t="shared" si="2"/>
        <v>60</v>
      </c>
      <c r="BU4" s="40"/>
      <c r="BV4" s="39">
        <v>12</v>
      </c>
      <c r="BW4" s="39">
        <v>24</v>
      </c>
      <c r="BX4" s="39">
        <v>36</v>
      </c>
      <c r="BY4" s="39">
        <v>48</v>
      </c>
      <c r="BZ4" s="39">
        <v>60</v>
      </c>
    </row>
    <row r="5" spans="1:78">
      <c r="A5" s="215" t="s">
        <v>161</v>
      </c>
      <c r="B5" s="216"/>
      <c r="C5" s="216"/>
      <c r="D5" s="216"/>
      <c r="E5" s="216"/>
      <c r="F5" s="216"/>
      <c r="G5" s="97"/>
      <c r="H5" s="97"/>
      <c r="I5" s="97"/>
      <c r="J5" s="97"/>
      <c r="K5" s="97"/>
      <c r="BU5" s="35"/>
    </row>
    <row r="6" spans="1:78">
      <c r="A6" s="217" t="s">
        <v>162</v>
      </c>
      <c r="B6" s="217"/>
      <c r="C6" s="216"/>
      <c r="D6" s="216"/>
      <c r="E6" s="216"/>
      <c r="F6" s="216"/>
      <c r="G6" s="97"/>
      <c r="H6" s="97"/>
      <c r="I6" s="97"/>
      <c r="J6" s="97"/>
      <c r="K6" s="97"/>
      <c r="BU6" s="35"/>
    </row>
    <row r="7" spans="1:78">
      <c r="A7" s="217" t="s">
        <v>137</v>
      </c>
      <c r="B7" s="217" t="s">
        <v>163</v>
      </c>
      <c r="C7" s="216"/>
      <c r="D7" s="216"/>
      <c r="E7" s="216"/>
      <c r="F7" s="216"/>
      <c r="G7" s="97"/>
      <c r="H7" s="97"/>
      <c r="I7" s="97"/>
      <c r="J7" s="97"/>
      <c r="K7" s="97"/>
      <c r="BU7" s="35"/>
    </row>
    <row r="8" spans="1:78">
      <c r="A8" s="217" t="s">
        <v>137</v>
      </c>
      <c r="B8" s="217" t="s">
        <v>164</v>
      </c>
      <c r="C8" s="216"/>
      <c r="D8" s="216"/>
      <c r="E8" s="216"/>
      <c r="F8" s="216"/>
      <c r="G8" s="97"/>
      <c r="H8" s="97"/>
      <c r="I8" s="97"/>
      <c r="J8" s="97"/>
      <c r="K8" s="97"/>
      <c r="M8" s="135">
        <f>L8+IS!M35</f>
        <v>-26531.164142303656</v>
      </c>
      <c r="N8" s="135">
        <f>M8+IS!N35</f>
        <v>-53104.529662530549</v>
      </c>
      <c r="O8" s="135">
        <f>N8+IS!O35</f>
        <v>-76095.730586746198</v>
      </c>
      <c r="P8" s="135">
        <f>O8+IS!P35</f>
        <v>-96880.413621537416</v>
      </c>
      <c r="Q8" s="135">
        <f>P8+IS!Q35</f>
        <v>-117709.23840762279</v>
      </c>
      <c r="R8" s="135">
        <f>Q8+IS!R35</f>
        <v>-135924.69659049375</v>
      </c>
      <c r="S8" s="135">
        <f>R8+IS!S35</f>
        <v>-152786.67762209871</v>
      </c>
      <c r="T8" s="135">
        <f>S8+IS!T35</f>
        <v>-169696.47494084161</v>
      </c>
      <c r="U8" s="135">
        <f>T8+IS!U35</f>
        <v>-183029.80256305027</v>
      </c>
      <c r="V8" s="135">
        <f>U8+IS!V35</f>
        <v>-194162.38878537907</v>
      </c>
      <c r="W8" s="135">
        <f>V8+IS!W35</f>
        <v>-205344.97647041545</v>
      </c>
      <c r="X8" s="135">
        <f>W8+IS!X35</f>
        <v>-212953.32333799865</v>
      </c>
      <c r="Y8" s="135">
        <f>X8+IS!Y35</f>
        <v>-221118.54686057573</v>
      </c>
      <c r="Z8" s="135">
        <f>Y8+IS!Z35</f>
        <v>-229337.70616775594</v>
      </c>
      <c r="AA8" s="135">
        <f>Z8+IS!AA35</f>
        <v>-233986.60535789441</v>
      </c>
      <c r="AB8" s="135">
        <f>AA8+IS!AB35</f>
        <v>-236441.06461131337</v>
      </c>
      <c r="AC8" s="135">
        <f>AB8+IS!AC35</f>
        <v>-238951.92051194148</v>
      </c>
      <c r="AD8" s="135">
        <f>AC8+IS!AD35</f>
        <v>-237895.02637538599</v>
      </c>
      <c r="AE8" s="135">
        <f>AD8+IS!AE35</f>
        <v>-234646.2525835663</v>
      </c>
      <c r="AF8" s="135">
        <f>AE8+IS!AF35</f>
        <v>-231456.4869260402</v>
      </c>
      <c r="AG8" s="135">
        <f>AF8+IS!AG35</f>
        <v>-225721.66351288639</v>
      </c>
      <c r="AH8" s="135">
        <f>AG8+IS!AH35</f>
        <v>-217798.48513368081</v>
      </c>
      <c r="AI8" s="135">
        <f>AH8+IS!AI35</f>
        <v>-209937.89391780453</v>
      </c>
      <c r="AJ8" s="135">
        <f>AI8+IS!AJ35</f>
        <v>-198515.8508372262</v>
      </c>
      <c r="AK8" s="135">
        <f>AJ8+IS!AK35</f>
        <v>-187042.41099235934</v>
      </c>
      <c r="AL8" s="135">
        <f>AK8+IS!AL35</f>
        <v>-175634.49926943466</v>
      </c>
      <c r="AM8" s="135">
        <f>AL8+IS!AM35</f>
        <v>-164293.13545959303</v>
      </c>
      <c r="AN8" s="135">
        <f>AM8+IS!AN35</f>
        <v>-153019.35974979823</v>
      </c>
      <c r="AO8" s="135">
        <f>AN8+IS!AO35</f>
        <v>-141814.23313075321</v>
      </c>
      <c r="AP8" s="135">
        <f>AO8+IS!AP35</f>
        <v>-127053.83781297509</v>
      </c>
      <c r="AQ8" s="135">
        <f>AP8+IS!AQ35</f>
        <v>-110114.27765119125</v>
      </c>
      <c r="AR8" s="135">
        <f>AQ8+IS!AR35</f>
        <v>-93246.678577223662</v>
      </c>
      <c r="AS8" s="135">
        <f>AR8+IS!AS35</f>
        <v>-76452.189041530713</v>
      </c>
      <c r="AT8" s="135">
        <f>AS8+IS!AT35</f>
        <v>-59731.980463579966</v>
      </c>
      <c r="AU8" s="135">
        <f>AT8+IS!AU35</f>
        <v>-43087.247691228346</v>
      </c>
      <c r="AV8" s="135">
        <f>AU8+IS!AV35</f>
        <v>-25483.373582258777</v>
      </c>
      <c r="AW8" s="135">
        <f>AV8+IS!AW35</f>
        <v>-8021.9474421435079</v>
      </c>
      <c r="AX8" s="135">
        <f>AW8+IS!AX35</f>
        <v>9359.4653476939129</v>
      </c>
      <c r="AY8" s="135">
        <f>AX8+IS!AY35</f>
        <v>26659.571445506852</v>
      </c>
      <c r="AZ8" s="135">
        <f>AY8+IS!AZ35</f>
        <v>47502.051642713734</v>
      </c>
      <c r="BA8" s="135">
        <f>AZ8+IS!BA35</f>
        <v>70510.560346561368</v>
      </c>
      <c r="BB8" s="135">
        <f>BA8+IS!BB35</f>
        <v>93433.725052441499</v>
      </c>
      <c r="BC8" s="135">
        <f>BB8+IS!BC35</f>
        <v>116270.14580565371</v>
      </c>
      <c r="BD8" s="135">
        <f>BC8+IS!BD35</f>
        <v>141516.33359047127</v>
      </c>
      <c r="BE8" s="135">
        <f>BD8+IS!BE35</f>
        <v>168922.08525790635</v>
      </c>
      <c r="BF8" s="135">
        <f>BE8+IS!BF35</f>
        <v>196235.91516483121</v>
      </c>
      <c r="BG8" s="135">
        <f>BF8+IS!BG35</f>
        <v>223456.30795525556</v>
      </c>
      <c r="BH8" s="135">
        <f>BG8+IS!BH35</f>
        <v>254206.71796606932</v>
      </c>
      <c r="BI8" s="135">
        <f>BH8+IS!BI35</f>
        <v>284530.29278110922</v>
      </c>
      <c r="BJ8" s="135">
        <f>BI8+IS!BJ35</f>
        <v>318380.7001322665</v>
      </c>
      <c r="BK8" s="135">
        <f>BJ8+IS!BK35</f>
        <v>354381.29974948341</v>
      </c>
      <c r="BL8" s="135">
        <f>BK8+IS!BL35</f>
        <v>393905.41855730111</v>
      </c>
      <c r="BM8" s="135">
        <f>BL8+IS!BM35</f>
        <v>435576.35001875146</v>
      </c>
      <c r="BN8" s="135">
        <f>BM8+IS!BN35</f>
        <v>480767.35346612713</v>
      </c>
      <c r="BO8" s="135">
        <f>BN8+IS!BO35</f>
        <v>528101.65341836645</v>
      </c>
      <c r="BP8" s="135">
        <f>BO8+IS!BP35</f>
        <v>577768.11367802857</v>
      </c>
      <c r="BQ8" s="135">
        <f>BP8+IS!BQ35</f>
        <v>629573.4045433253</v>
      </c>
      <c r="BR8" s="135">
        <f>BQ8+IS!BR35</f>
        <v>664435.95308395114</v>
      </c>
      <c r="BS8" s="135">
        <f>BR8+IS!BS35</f>
        <v>701427.87235135608</v>
      </c>
      <c r="BT8" s="135">
        <f>BS8+IS!BT35</f>
        <v>741922.20207098359</v>
      </c>
      <c r="BU8" s="35"/>
      <c r="BV8" s="145">
        <f t="shared" ref="BV8:BZ9" si="3">INDEX($M8:$BT8,MATCH(BV$4,$M$4:$BT$4,0))</f>
        <v>-212953.32333799865</v>
      </c>
      <c r="BW8" s="145">
        <f t="shared" si="3"/>
        <v>-198515.8508372262</v>
      </c>
      <c r="BX8" s="145">
        <f t="shared" si="3"/>
        <v>-25483.373582258777</v>
      </c>
      <c r="BY8" s="145">
        <f t="shared" si="3"/>
        <v>254206.71796606932</v>
      </c>
      <c r="BZ8" s="145">
        <f t="shared" si="3"/>
        <v>741922.20207098359</v>
      </c>
    </row>
    <row r="9" spans="1:78" ht="15.6">
      <c r="A9" s="218"/>
      <c r="B9" s="219" t="s">
        <v>165</v>
      </c>
      <c r="C9" s="219"/>
      <c r="D9" s="219"/>
      <c r="E9" s="219"/>
      <c r="F9" s="219"/>
      <c r="G9" s="220"/>
      <c r="H9" s="220"/>
      <c r="I9" s="220"/>
      <c r="J9" s="220"/>
      <c r="K9" s="220"/>
      <c r="L9" s="28"/>
      <c r="M9" s="154">
        <f t="shared" ref="M9:AR9" si="4">SUM(M7:M8)</f>
        <v>-26531.164142303656</v>
      </c>
      <c r="N9" s="154">
        <f t="shared" si="4"/>
        <v>-53104.529662530549</v>
      </c>
      <c r="O9" s="154">
        <f t="shared" si="4"/>
        <v>-76095.730586746198</v>
      </c>
      <c r="P9" s="154">
        <f t="shared" si="4"/>
        <v>-96880.413621537416</v>
      </c>
      <c r="Q9" s="154">
        <f t="shared" si="4"/>
        <v>-117709.23840762279</v>
      </c>
      <c r="R9" s="154">
        <f t="shared" si="4"/>
        <v>-135924.69659049375</v>
      </c>
      <c r="S9" s="154">
        <f t="shared" si="4"/>
        <v>-152786.67762209871</v>
      </c>
      <c r="T9" s="154">
        <f t="shared" si="4"/>
        <v>-169696.47494084161</v>
      </c>
      <c r="U9" s="154">
        <f t="shared" si="4"/>
        <v>-183029.80256305027</v>
      </c>
      <c r="V9" s="154">
        <f t="shared" si="4"/>
        <v>-194162.38878537907</v>
      </c>
      <c r="W9" s="154">
        <f t="shared" si="4"/>
        <v>-205344.97647041545</v>
      </c>
      <c r="X9" s="154">
        <f t="shared" si="4"/>
        <v>-212953.32333799865</v>
      </c>
      <c r="Y9" s="154">
        <f t="shared" si="4"/>
        <v>-221118.54686057573</v>
      </c>
      <c r="Z9" s="154">
        <f t="shared" si="4"/>
        <v>-229337.70616775594</v>
      </c>
      <c r="AA9" s="154">
        <f t="shared" si="4"/>
        <v>-233986.60535789441</v>
      </c>
      <c r="AB9" s="154">
        <f t="shared" si="4"/>
        <v>-236441.06461131337</v>
      </c>
      <c r="AC9" s="154">
        <f t="shared" si="4"/>
        <v>-238951.92051194148</v>
      </c>
      <c r="AD9" s="154">
        <f t="shared" si="4"/>
        <v>-237895.02637538599</v>
      </c>
      <c r="AE9" s="154">
        <f t="shared" si="4"/>
        <v>-234646.2525835663</v>
      </c>
      <c r="AF9" s="154">
        <f t="shared" si="4"/>
        <v>-231456.4869260402</v>
      </c>
      <c r="AG9" s="154">
        <f t="shared" si="4"/>
        <v>-225721.66351288639</v>
      </c>
      <c r="AH9" s="154">
        <f t="shared" si="4"/>
        <v>-217798.48513368081</v>
      </c>
      <c r="AI9" s="154">
        <f t="shared" si="4"/>
        <v>-209937.89391780453</v>
      </c>
      <c r="AJ9" s="154">
        <f t="shared" si="4"/>
        <v>-198515.8508372262</v>
      </c>
      <c r="AK9" s="154">
        <f t="shared" si="4"/>
        <v>-187042.41099235934</v>
      </c>
      <c r="AL9" s="154">
        <f t="shared" si="4"/>
        <v>-175634.49926943466</v>
      </c>
      <c r="AM9" s="154">
        <f t="shared" si="4"/>
        <v>-164293.13545959303</v>
      </c>
      <c r="AN9" s="154">
        <f t="shared" si="4"/>
        <v>-153019.35974979823</v>
      </c>
      <c r="AO9" s="154">
        <f t="shared" si="4"/>
        <v>-141814.23313075321</v>
      </c>
      <c r="AP9" s="154">
        <f t="shared" si="4"/>
        <v>-127053.83781297509</v>
      </c>
      <c r="AQ9" s="154">
        <f t="shared" si="4"/>
        <v>-110114.27765119125</v>
      </c>
      <c r="AR9" s="154">
        <f t="shared" si="4"/>
        <v>-93246.678577223662</v>
      </c>
      <c r="AS9" s="154">
        <f t="shared" ref="AS9:BX9" si="5">SUM(AS7:AS8)</f>
        <v>-76452.189041530713</v>
      </c>
      <c r="AT9" s="154">
        <f t="shared" si="5"/>
        <v>-59731.980463579966</v>
      </c>
      <c r="AU9" s="154">
        <f t="shared" si="5"/>
        <v>-43087.247691228346</v>
      </c>
      <c r="AV9" s="154">
        <f t="shared" si="5"/>
        <v>-25483.373582258777</v>
      </c>
      <c r="AW9" s="154">
        <f t="shared" si="5"/>
        <v>-8021.9474421435079</v>
      </c>
      <c r="AX9" s="154">
        <f t="shared" si="5"/>
        <v>9359.4653476939129</v>
      </c>
      <c r="AY9" s="154">
        <f t="shared" si="5"/>
        <v>26659.571445506852</v>
      </c>
      <c r="AZ9" s="154">
        <f t="shared" si="5"/>
        <v>47502.051642713734</v>
      </c>
      <c r="BA9" s="154">
        <f t="shared" si="5"/>
        <v>70510.560346561368</v>
      </c>
      <c r="BB9" s="154">
        <f t="shared" si="5"/>
        <v>93433.725052441499</v>
      </c>
      <c r="BC9" s="154">
        <f t="shared" si="5"/>
        <v>116270.14580565371</v>
      </c>
      <c r="BD9" s="154">
        <f t="shared" si="5"/>
        <v>141516.33359047127</v>
      </c>
      <c r="BE9" s="154">
        <f t="shared" si="5"/>
        <v>168922.08525790635</v>
      </c>
      <c r="BF9" s="154">
        <f t="shared" si="5"/>
        <v>196235.91516483121</v>
      </c>
      <c r="BG9" s="154">
        <f t="shared" si="5"/>
        <v>223456.30795525556</v>
      </c>
      <c r="BH9" s="154">
        <f t="shared" si="5"/>
        <v>254206.71796606932</v>
      </c>
      <c r="BI9" s="154">
        <f t="shared" si="5"/>
        <v>284530.29278110922</v>
      </c>
      <c r="BJ9" s="154">
        <f t="shared" si="5"/>
        <v>318380.7001322665</v>
      </c>
      <c r="BK9" s="154">
        <f t="shared" si="5"/>
        <v>354381.29974948341</v>
      </c>
      <c r="BL9" s="154">
        <f t="shared" si="5"/>
        <v>393905.41855730111</v>
      </c>
      <c r="BM9" s="154">
        <f t="shared" si="5"/>
        <v>435576.35001875146</v>
      </c>
      <c r="BN9" s="154">
        <f t="shared" si="5"/>
        <v>480767.35346612713</v>
      </c>
      <c r="BO9" s="154">
        <f t="shared" si="5"/>
        <v>528101.65341836645</v>
      </c>
      <c r="BP9" s="154">
        <f t="shared" si="5"/>
        <v>577768.11367802857</v>
      </c>
      <c r="BQ9" s="154">
        <f t="shared" si="5"/>
        <v>629573.4045433253</v>
      </c>
      <c r="BR9" s="154">
        <f t="shared" si="5"/>
        <v>664435.95308395114</v>
      </c>
      <c r="BS9" s="154">
        <f t="shared" si="5"/>
        <v>701427.87235135608</v>
      </c>
      <c r="BT9" s="154">
        <f t="shared" si="5"/>
        <v>741922.20207098359</v>
      </c>
      <c r="BU9" s="35"/>
      <c r="BV9" s="154">
        <f t="shared" si="3"/>
        <v>-212953.32333799865</v>
      </c>
      <c r="BW9" s="154">
        <f t="shared" si="3"/>
        <v>-198515.8508372262</v>
      </c>
      <c r="BX9" s="154">
        <f t="shared" si="3"/>
        <v>-25483.373582258777</v>
      </c>
      <c r="BY9" s="154">
        <f t="shared" si="3"/>
        <v>254206.71796606932</v>
      </c>
      <c r="BZ9" s="154">
        <f t="shared" si="3"/>
        <v>741922.20207098359</v>
      </c>
    </row>
    <row r="10" spans="1:78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BU10" s="35"/>
    </row>
    <row r="11" spans="1:78">
      <c r="A11" s="221" t="s">
        <v>166</v>
      </c>
      <c r="B11" s="222"/>
      <c r="C11" s="223"/>
      <c r="D11" s="223"/>
      <c r="E11" s="223"/>
      <c r="F11" s="223"/>
      <c r="G11" s="97"/>
      <c r="H11" s="97"/>
      <c r="I11" s="97"/>
      <c r="J11" s="97"/>
      <c r="K11" s="97"/>
      <c r="BU11" s="35"/>
    </row>
    <row r="12" spans="1:78">
      <c r="A12" s="224" t="s">
        <v>167</v>
      </c>
      <c r="B12" s="222"/>
      <c r="C12" s="225"/>
      <c r="D12" s="225"/>
      <c r="E12" s="225"/>
      <c r="F12" s="225"/>
      <c r="G12" s="97"/>
      <c r="H12" s="97"/>
      <c r="I12" s="97"/>
      <c r="J12" s="97"/>
      <c r="K12" s="97"/>
      <c r="BU12" s="35"/>
    </row>
    <row r="13" spans="1:78">
      <c r="A13" s="223"/>
      <c r="B13" s="222" t="s">
        <v>168</v>
      </c>
      <c r="C13" s="225"/>
      <c r="D13" s="225"/>
      <c r="E13" s="225"/>
      <c r="F13" s="225"/>
      <c r="G13" s="97"/>
      <c r="H13" s="97"/>
      <c r="I13" s="97"/>
      <c r="J13" s="97"/>
      <c r="K13" s="97"/>
      <c r="BU13" s="35"/>
      <c r="BV13" s="145">
        <f>INDEX($M13:$BT13,MATCH(BV$4,$M$4:$BT$4,0))</f>
        <v>0</v>
      </c>
      <c r="BW13" s="145">
        <f>INDEX($M13:$BT13,MATCH(BW$4,$M$4:$BT$4,0))</f>
        <v>0</v>
      </c>
      <c r="BX13" s="145">
        <f>INDEX($M13:$BT13,MATCH(BX$4,$M$4:$BT$4,0))</f>
        <v>0</v>
      </c>
      <c r="BY13" s="145">
        <f>INDEX($M13:$BT13,MATCH(BY$4,$M$4:$BT$4,0))</f>
        <v>0</v>
      </c>
      <c r="BZ13" s="145">
        <f>INDEX($M13:$BT13,MATCH(BZ$4,$M$4:$BT$4,0))</f>
        <v>0</v>
      </c>
    </row>
    <row r="14" spans="1:78">
      <c r="A14" s="224" t="s">
        <v>169</v>
      </c>
      <c r="B14" s="226"/>
      <c r="C14" s="226"/>
      <c r="D14" s="226"/>
      <c r="E14" s="226"/>
      <c r="F14" s="226"/>
      <c r="G14" s="97"/>
      <c r="H14" s="97"/>
      <c r="I14" s="97"/>
      <c r="J14" s="97"/>
      <c r="K14" s="97"/>
      <c r="BU14" s="35"/>
    </row>
    <row r="15" spans="1:78">
      <c r="A15" s="222" t="s">
        <v>137</v>
      </c>
      <c r="B15" s="222" t="s">
        <v>170</v>
      </c>
      <c r="C15" s="226"/>
      <c r="D15" s="226"/>
      <c r="E15" s="226"/>
      <c r="F15" s="226"/>
      <c r="G15" s="97"/>
      <c r="H15" s="97"/>
      <c r="I15" s="97"/>
      <c r="J15" s="97"/>
      <c r="K15" s="9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35"/>
    </row>
    <row r="16" spans="1:78">
      <c r="A16" s="222" t="s">
        <v>137</v>
      </c>
      <c r="B16" s="222" t="s">
        <v>171</v>
      </c>
      <c r="C16" s="223"/>
      <c r="D16" s="223"/>
      <c r="E16" s="223"/>
      <c r="F16" s="223"/>
      <c r="G16" s="97"/>
      <c r="H16" s="97"/>
      <c r="I16" s="97"/>
      <c r="J16" s="97"/>
      <c r="K16" s="9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35"/>
      <c r="BV16" s="145">
        <f t="shared" ref="BV16:BZ18" si="6">INDEX($M16:$BT16,MATCH(BV$4,$M$4:$BT$4,0))</f>
        <v>0</v>
      </c>
      <c r="BW16" s="145">
        <f t="shared" si="6"/>
        <v>0</v>
      </c>
      <c r="BX16" s="145">
        <f t="shared" si="6"/>
        <v>0</v>
      </c>
      <c r="BY16" s="145">
        <f t="shared" si="6"/>
        <v>0</v>
      </c>
      <c r="BZ16" s="145">
        <f t="shared" si="6"/>
        <v>0</v>
      </c>
    </row>
    <row r="17" spans="1:78">
      <c r="A17" s="222" t="s">
        <v>137</v>
      </c>
      <c r="B17" s="222" t="s">
        <v>172</v>
      </c>
      <c r="C17" s="223"/>
      <c r="D17" s="223"/>
      <c r="E17" s="223"/>
      <c r="F17" s="223"/>
      <c r="G17" s="97"/>
      <c r="H17" s="97"/>
      <c r="I17" s="97"/>
      <c r="J17" s="97"/>
      <c r="K17" s="97"/>
      <c r="BU17" s="35"/>
      <c r="BV17" s="145">
        <f t="shared" si="6"/>
        <v>0</v>
      </c>
      <c r="BW17" s="145">
        <f t="shared" si="6"/>
        <v>0</v>
      </c>
      <c r="BX17" s="145">
        <f t="shared" si="6"/>
        <v>0</v>
      </c>
      <c r="BY17" s="145">
        <f t="shared" si="6"/>
        <v>0</v>
      </c>
      <c r="BZ17" s="145">
        <f t="shared" si="6"/>
        <v>0</v>
      </c>
    </row>
    <row r="18" spans="1:78" ht="15.6">
      <c r="A18" s="218"/>
      <c r="B18" s="219" t="s">
        <v>173</v>
      </c>
      <c r="C18" s="219"/>
      <c r="D18" s="219"/>
      <c r="E18" s="219"/>
      <c r="F18" s="219"/>
      <c r="G18" s="220"/>
      <c r="H18" s="220"/>
      <c r="I18" s="220"/>
      <c r="J18" s="220"/>
      <c r="K18" s="220"/>
      <c r="L18" s="28"/>
      <c r="M18" s="153">
        <f t="shared" ref="M18:AR18" si="7">SUM(M13,M15:M17)</f>
        <v>0</v>
      </c>
      <c r="N18" s="153">
        <f t="shared" si="7"/>
        <v>0</v>
      </c>
      <c r="O18" s="153">
        <f t="shared" si="7"/>
        <v>0</v>
      </c>
      <c r="P18" s="153">
        <f t="shared" si="7"/>
        <v>0</v>
      </c>
      <c r="Q18" s="153">
        <f t="shared" si="7"/>
        <v>0</v>
      </c>
      <c r="R18" s="153">
        <f t="shared" si="7"/>
        <v>0</v>
      </c>
      <c r="S18" s="153">
        <f t="shared" si="7"/>
        <v>0</v>
      </c>
      <c r="T18" s="153">
        <f t="shared" si="7"/>
        <v>0</v>
      </c>
      <c r="U18" s="153">
        <f t="shared" si="7"/>
        <v>0</v>
      </c>
      <c r="V18" s="153">
        <f t="shared" si="7"/>
        <v>0</v>
      </c>
      <c r="W18" s="153">
        <f t="shared" si="7"/>
        <v>0</v>
      </c>
      <c r="X18" s="153">
        <f t="shared" si="7"/>
        <v>0</v>
      </c>
      <c r="Y18" s="153">
        <f t="shared" si="7"/>
        <v>0</v>
      </c>
      <c r="Z18" s="153">
        <f t="shared" si="7"/>
        <v>0</v>
      </c>
      <c r="AA18" s="153">
        <f t="shared" si="7"/>
        <v>0</v>
      </c>
      <c r="AB18" s="153">
        <f t="shared" si="7"/>
        <v>0</v>
      </c>
      <c r="AC18" s="153">
        <f t="shared" si="7"/>
        <v>0</v>
      </c>
      <c r="AD18" s="153">
        <f t="shared" si="7"/>
        <v>0</v>
      </c>
      <c r="AE18" s="153">
        <f t="shared" si="7"/>
        <v>0</v>
      </c>
      <c r="AF18" s="153">
        <f t="shared" si="7"/>
        <v>0</v>
      </c>
      <c r="AG18" s="153">
        <f t="shared" si="7"/>
        <v>0</v>
      </c>
      <c r="AH18" s="153">
        <f t="shared" si="7"/>
        <v>0</v>
      </c>
      <c r="AI18" s="153">
        <f t="shared" si="7"/>
        <v>0</v>
      </c>
      <c r="AJ18" s="153">
        <f t="shared" si="7"/>
        <v>0</v>
      </c>
      <c r="AK18" s="153">
        <f t="shared" si="7"/>
        <v>0</v>
      </c>
      <c r="AL18" s="153">
        <f t="shared" si="7"/>
        <v>0</v>
      </c>
      <c r="AM18" s="153">
        <f t="shared" si="7"/>
        <v>0</v>
      </c>
      <c r="AN18" s="153">
        <f t="shared" si="7"/>
        <v>0</v>
      </c>
      <c r="AO18" s="153">
        <f t="shared" si="7"/>
        <v>0</v>
      </c>
      <c r="AP18" s="153">
        <f t="shared" si="7"/>
        <v>0</v>
      </c>
      <c r="AQ18" s="153">
        <f t="shared" si="7"/>
        <v>0</v>
      </c>
      <c r="AR18" s="153">
        <f t="shared" si="7"/>
        <v>0</v>
      </c>
      <c r="AS18" s="153">
        <f t="shared" ref="AS18:BX18" si="8">SUM(AS13,AS15:AS17)</f>
        <v>0</v>
      </c>
      <c r="AT18" s="153">
        <f t="shared" si="8"/>
        <v>0</v>
      </c>
      <c r="AU18" s="153">
        <f t="shared" si="8"/>
        <v>0</v>
      </c>
      <c r="AV18" s="153">
        <f t="shared" si="8"/>
        <v>0</v>
      </c>
      <c r="AW18" s="153">
        <f t="shared" si="8"/>
        <v>0</v>
      </c>
      <c r="AX18" s="153">
        <f t="shared" si="8"/>
        <v>0</v>
      </c>
      <c r="AY18" s="153">
        <f t="shared" si="8"/>
        <v>0</v>
      </c>
      <c r="AZ18" s="153">
        <f t="shared" si="8"/>
        <v>0</v>
      </c>
      <c r="BA18" s="153">
        <f t="shared" si="8"/>
        <v>0</v>
      </c>
      <c r="BB18" s="153">
        <f t="shared" si="8"/>
        <v>0</v>
      </c>
      <c r="BC18" s="153">
        <f t="shared" si="8"/>
        <v>0</v>
      </c>
      <c r="BD18" s="153">
        <f t="shared" si="8"/>
        <v>0</v>
      </c>
      <c r="BE18" s="153">
        <f t="shared" si="8"/>
        <v>0</v>
      </c>
      <c r="BF18" s="153">
        <f t="shared" si="8"/>
        <v>0</v>
      </c>
      <c r="BG18" s="153">
        <f t="shared" si="8"/>
        <v>0</v>
      </c>
      <c r="BH18" s="153">
        <f t="shared" si="8"/>
        <v>0</v>
      </c>
      <c r="BI18" s="153">
        <f t="shared" si="8"/>
        <v>0</v>
      </c>
      <c r="BJ18" s="153">
        <f t="shared" si="8"/>
        <v>0</v>
      </c>
      <c r="BK18" s="153">
        <f t="shared" si="8"/>
        <v>0</v>
      </c>
      <c r="BL18" s="153">
        <f t="shared" si="8"/>
        <v>0</v>
      </c>
      <c r="BM18" s="153">
        <f t="shared" si="8"/>
        <v>0</v>
      </c>
      <c r="BN18" s="153">
        <f t="shared" si="8"/>
        <v>0</v>
      </c>
      <c r="BO18" s="153">
        <f t="shared" si="8"/>
        <v>0</v>
      </c>
      <c r="BP18" s="153">
        <f t="shared" si="8"/>
        <v>0</v>
      </c>
      <c r="BQ18" s="153">
        <f t="shared" si="8"/>
        <v>0</v>
      </c>
      <c r="BR18" s="153">
        <f t="shared" si="8"/>
        <v>0</v>
      </c>
      <c r="BS18" s="153">
        <f t="shared" si="8"/>
        <v>0</v>
      </c>
      <c r="BT18" s="153">
        <f t="shared" si="8"/>
        <v>0</v>
      </c>
      <c r="BU18" s="35"/>
      <c r="BV18" s="154">
        <f t="shared" si="6"/>
        <v>0</v>
      </c>
      <c r="BW18" s="154">
        <f t="shared" si="6"/>
        <v>0</v>
      </c>
      <c r="BX18" s="154">
        <f t="shared" si="6"/>
        <v>0</v>
      </c>
      <c r="BY18" s="154">
        <f t="shared" si="6"/>
        <v>0</v>
      </c>
      <c r="BZ18" s="154">
        <f t="shared" si="6"/>
        <v>0</v>
      </c>
    </row>
    <row r="19" spans="1:78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BU19" s="35"/>
    </row>
    <row r="20" spans="1:78" ht="15.6">
      <c r="A20" s="227"/>
      <c r="B20" s="228" t="s">
        <v>174</v>
      </c>
      <c r="C20" s="227"/>
      <c r="D20" s="227"/>
      <c r="E20" s="227"/>
      <c r="F20" s="227"/>
      <c r="G20" s="227"/>
      <c r="H20" s="227"/>
      <c r="I20" s="227"/>
      <c r="J20" s="198"/>
      <c r="K20" s="198"/>
      <c r="L20" s="198"/>
      <c r="M20" s="199">
        <f t="shared" ref="M20:AR20" si="9">M9+M18</f>
        <v>-26531.164142303656</v>
      </c>
      <c r="N20" s="199">
        <f t="shared" si="9"/>
        <v>-53104.529662530549</v>
      </c>
      <c r="O20" s="199">
        <f t="shared" si="9"/>
        <v>-76095.730586746198</v>
      </c>
      <c r="P20" s="199">
        <f t="shared" si="9"/>
        <v>-96880.413621537416</v>
      </c>
      <c r="Q20" s="199">
        <f t="shared" si="9"/>
        <v>-117709.23840762279</v>
      </c>
      <c r="R20" s="199">
        <f t="shared" si="9"/>
        <v>-135924.69659049375</v>
      </c>
      <c r="S20" s="199">
        <f t="shared" si="9"/>
        <v>-152786.67762209871</v>
      </c>
      <c r="T20" s="199">
        <f t="shared" si="9"/>
        <v>-169696.47494084161</v>
      </c>
      <c r="U20" s="199">
        <f t="shared" si="9"/>
        <v>-183029.80256305027</v>
      </c>
      <c r="V20" s="199">
        <f t="shared" si="9"/>
        <v>-194162.38878537907</v>
      </c>
      <c r="W20" s="199">
        <f t="shared" si="9"/>
        <v>-205344.97647041545</v>
      </c>
      <c r="X20" s="199">
        <f t="shared" si="9"/>
        <v>-212953.32333799865</v>
      </c>
      <c r="Y20" s="199">
        <f t="shared" si="9"/>
        <v>-221118.54686057573</v>
      </c>
      <c r="Z20" s="199">
        <f t="shared" si="9"/>
        <v>-229337.70616775594</v>
      </c>
      <c r="AA20" s="199">
        <f t="shared" si="9"/>
        <v>-233986.60535789441</v>
      </c>
      <c r="AB20" s="199">
        <f t="shared" si="9"/>
        <v>-236441.06461131337</v>
      </c>
      <c r="AC20" s="199">
        <f t="shared" si="9"/>
        <v>-238951.92051194148</v>
      </c>
      <c r="AD20" s="199">
        <f t="shared" si="9"/>
        <v>-237895.02637538599</v>
      </c>
      <c r="AE20" s="199">
        <f t="shared" si="9"/>
        <v>-234646.2525835663</v>
      </c>
      <c r="AF20" s="199">
        <f t="shared" si="9"/>
        <v>-231456.4869260402</v>
      </c>
      <c r="AG20" s="199">
        <f t="shared" si="9"/>
        <v>-225721.66351288639</v>
      </c>
      <c r="AH20" s="199">
        <f t="shared" si="9"/>
        <v>-217798.48513368081</v>
      </c>
      <c r="AI20" s="199">
        <f t="shared" si="9"/>
        <v>-209937.89391780453</v>
      </c>
      <c r="AJ20" s="199">
        <f t="shared" si="9"/>
        <v>-198515.8508372262</v>
      </c>
      <c r="AK20" s="199">
        <f t="shared" si="9"/>
        <v>-187042.41099235934</v>
      </c>
      <c r="AL20" s="199">
        <f t="shared" si="9"/>
        <v>-175634.49926943466</v>
      </c>
      <c r="AM20" s="199">
        <f t="shared" si="9"/>
        <v>-164293.13545959303</v>
      </c>
      <c r="AN20" s="199">
        <f t="shared" si="9"/>
        <v>-153019.35974979823</v>
      </c>
      <c r="AO20" s="199">
        <f t="shared" si="9"/>
        <v>-141814.23313075321</v>
      </c>
      <c r="AP20" s="199">
        <f t="shared" si="9"/>
        <v>-127053.83781297509</v>
      </c>
      <c r="AQ20" s="199">
        <f t="shared" si="9"/>
        <v>-110114.27765119125</v>
      </c>
      <c r="AR20" s="199">
        <f t="shared" si="9"/>
        <v>-93246.678577223662</v>
      </c>
      <c r="AS20" s="199">
        <f t="shared" ref="AS20:BT20" si="10">AS9+AS18</f>
        <v>-76452.189041530713</v>
      </c>
      <c r="AT20" s="199">
        <f t="shared" si="10"/>
        <v>-59731.980463579966</v>
      </c>
      <c r="AU20" s="199">
        <f t="shared" si="10"/>
        <v>-43087.247691228346</v>
      </c>
      <c r="AV20" s="199">
        <f t="shared" si="10"/>
        <v>-25483.373582258777</v>
      </c>
      <c r="AW20" s="199">
        <f t="shared" si="10"/>
        <v>-8021.9474421435079</v>
      </c>
      <c r="AX20" s="199">
        <f t="shared" si="10"/>
        <v>9359.4653476939129</v>
      </c>
      <c r="AY20" s="199">
        <f t="shared" si="10"/>
        <v>26659.571445506852</v>
      </c>
      <c r="AZ20" s="199">
        <f t="shared" si="10"/>
        <v>47502.051642713734</v>
      </c>
      <c r="BA20" s="199">
        <f t="shared" si="10"/>
        <v>70510.560346561368</v>
      </c>
      <c r="BB20" s="199">
        <f t="shared" si="10"/>
        <v>93433.725052441499</v>
      </c>
      <c r="BC20" s="199">
        <f t="shared" si="10"/>
        <v>116270.14580565371</v>
      </c>
      <c r="BD20" s="199">
        <f t="shared" si="10"/>
        <v>141516.33359047127</v>
      </c>
      <c r="BE20" s="199">
        <f t="shared" si="10"/>
        <v>168922.08525790635</v>
      </c>
      <c r="BF20" s="199">
        <f t="shared" si="10"/>
        <v>196235.91516483121</v>
      </c>
      <c r="BG20" s="199">
        <f t="shared" si="10"/>
        <v>223456.30795525556</v>
      </c>
      <c r="BH20" s="199">
        <f t="shared" si="10"/>
        <v>254206.71796606932</v>
      </c>
      <c r="BI20" s="199">
        <f t="shared" si="10"/>
        <v>284530.29278110922</v>
      </c>
      <c r="BJ20" s="199">
        <f t="shared" si="10"/>
        <v>318380.7001322665</v>
      </c>
      <c r="BK20" s="199">
        <f t="shared" si="10"/>
        <v>354381.29974948341</v>
      </c>
      <c r="BL20" s="199">
        <f t="shared" si="10"/>
        <v>393905.41855730111</v>
      </c>
      <c r="BM20" s="199">
        <f t="shared" si="10"/>
        <v>435576.35001875146</v>
      </c>
      <c r="BN20" s="199">
        <f t="shared" si="10"/>
        <v>480767.35346612713</v>
      </c>
      <c r="BO20" s="199">
        <f t="shared" si="10"/>
        <v>528101.65341836645</v>
      </c>
      <c r="BP20" s="199">
        <f t="shared" si="10"/>
        <v>577768.11367802857</v>
      </c>
      <c r="BQ20" s="199">
        <f t="shared" si="10"/>
        <v>629573.4045433253</v>
      </c>
      <c r="BR20" s="199">
        <f t="shared" si="10"/>
        <v>664435.95308395114</v>
      </c>
      <c r="BS20" s="199">
        <f t="shared" si="10"/>
        <v>701427.87235135608</v>
      </c>
      <c r="BT20" s="199">
        <f t="shared" si="10"/>
        <v>741922.20207098359</v>
      </c>
      <c r="BU20" s="35"/>
      <c r="BV20" s="199">
        <f>BV9+BV18</f>
        <v>-212953.32333799865</v>
      </c>
      <c r="BW20" s="199">
        <f>BW9+BW18</f>
        <v>-198515.8508372262</v>
      </c>
      <c r="BX20" s="199">
        <f>BX9+BX18</f>
        <v>-25483.373582258777</v>
      </c>
      <c r="BY20" s="199">
        <f>BY9+BY18</f>
        <v>254206.71796606932</v>
      </c>
      <c r="BZ20" s="199">
        <f>BZ9+BZ18</f>
        <v>741922.20207098359</v>
      </c>
    </row>
    <row r="21" spans="1:78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BU21" s="35"/>
    </row>
    <row r="22" spans="1:78">
      <c r="A22" s="229" t="s">
        <v>175</v>
      </c>
      <c r="B22" s="217"/>
      <c r="C22" s="216"/>
      <c r="D22" s="216"/>
      <c r="E22" s="216"/>
      <c r="F22" s="216"/>
      <c r="G22" s="97"/>
      <c r="H22" s="97"/>
      <c r="I22" s="97"/>
      <c r="J22" s="97"/>
      <c r="K22" s="97"/>
      <c r="BU22" s="35"/>
    </row>
    <row r="23" spans="1:78">
      <c r="A23" s="217" t="s">
        <v>176</v>
      </c>
      <c r="B23" s="217"/>
      <c r="C23" s="216"/>
      <c r="D23" s="216"/>
      <c r="E23" s="216"/>
      <c r="F23" s="216"/>
      <c r="G23" s="97"/>
      <c r="H23" s="97"/>
      <c r="I23" s="97"/>
      <c r="J23" s="97"/>
      <c r="K23" s="97"/>
      <c r="BU23" s="35"/>
    </row>
    <row r="24" spans="1:78">
      <c r="A24" s="216" t="s">
        <v>177</v>
      </c>
      <c r="B24" s="217"/>
      <c r="C24" s="230"/>
      <c r="D24" s="230"/>
      <c r="E24" s="230"/>
      <c r="F24" s="230"/>
      <c r="G24" s="97"/>
      <c r="H24" s="97"/>
      <c r="I24" s="97"/>
      <c r="J24" s="97"/>
      <c r="K24" s="97"/>
      <c r="BU24" s="35"/>
    </row>
    <row r="25" spans="1:78">
      <c r="A25" s="217" t="s">
        <v>137</v>
      </c>
      <c r="B25" s="217" t="s">
        <v>178</v>
      </c>
      <c r="C25" s="230"/>
      <c r="D25" s="230"/>
      <c r="E25" s="230"/>
      <c r="F25" s="230"/>
      <c r="G25" s="97"/>
      <c r="H25" s="97"/>
      <c r="I25" s="97"/>
      <c r="J25" s="97"/>
      <c r="K25" s="97"/>
      <c r="BU25" s="35"/>
      <c r="BV25" s="145">
        <f t="shared" ref="BV25:BZ27" si="11">INDEX($M25:$BT25,MATCH(BV$4,$M$4:$BT$4,0))</f>
        <v>0</v>
      </c>
      <c r="BW25" s="145">
        <f t="shared" si="11"/>
        <v>0</v>
      </c>
      <c r="BX25" s="145">
        <f t="shared" si="11"/>
        <v>0</v>
      </c>
      <c r="BY25" s="145">
        <f t="shared" si="11"/>
        <v>0</v>
      </c>
      <c r="BZ25" s="145">
        <f t="shared" si="11"/>
        <v>0</v>
      </c>
    </row>
    <row r="26" spans="1:78">
      <c r="A26" s="217" t="s">
        <v>137</v>
      </c>
      <c r="B26" s="217" t="s">
        <v>179</v>
      </c>
      <c r="C26" s="230"/>
      <c r="D26" s="230"/>
      <c r="E26" s="230"/>
      <c r="F26" s="230"/>
      <c r="G26" s="97"/>
      <c r="H26" s="97"/>
      <c r="I26" s="97"/>
      <c r="J26" s="97"/>
      <c r="K26" s="97"/>
      <c r="BU26" s="35"/>
      <c r="BV26" s="145">
        <f t="shared" si="11"/>
        <v>0</v>
      </c>
      <c r="BW26" s="145">
        <f t="shared" si="11"/>
        <v>0</v>
      </c>
      <c r="BX26" s="145">
        <f t="shared" si="11"/>
        <v>0</v>
      </c>
      <c r="BY26" s="145">
        <f t="shared" si="11"/>
        <v>0</v>
      </c>
      <c r="BZ26" s="145">
        <f t="shared" si="11"/>
        <v>0</v>
      </c>
    </row>
    <row r="27" spans="1:78">
      <c r="A27" s="217" t="s">
        <v>137</v>
      </c>
      <c r="B27" s="217" t="s">
        <v>180</v>
      </c>
      <c r="C27" s="230"/>
      <c r="D27" s="230"/>
      <c r="E27" s="230"/>
      <c r="F27" s="230"/>
      <c r="G27" s="97"/>
      <c r="H27" s="97"/>
      <c r="I27" s="97"/>
      <c r="J27" s="97"/>
      <c r="K27" s="97"/>
      <c r="BU27" s="35"/>
      <c r="BV27" s="145">
        <f t="shared" si="11"/>
        <v>0</v>
      </c>
      <c r="BW27" s="145">
        <f t="shared" si="11"/>
        <v>0</v>
      </c>
      <c r="BX27" s="145">
        <f t="shared" si="11"/>
        <v>0</v>
      </c>
      <c r="BY27" s="145">
        <f t="shared" si="11"/>
        <v>0</v>
      </c>
      <c r="BZ27" s="145">
        <f t="shared" si="11"/>
        <v>0</v>
      </c>
    </row>
    <row r="28" spans="1:78" ht="15.6">
      <c r="A28" s="218"/>
      <c r="B28" s="219" t="s">
        <v>181</v>
      </c>
      <c r="C28" s="219"/>
      <c r="D28" s="219"/>
      <c r="E28" s="219"/>
      <c r="F28" s="219"/>
      <c r="G28" s="220"/>
      <c r="H28" s="220"/>
      <c r="I28" s="220"/>
      <c r="J28" s="220"/>
      <c r="K28" s="220"/>
      <c r="L28" s="28"/>
      <c r="M28" s="231">
        <f t="shared" ref="M28:AR28" si="12">SUM(M25:M27)</f>
        <v>0</v>
      </c>
      <c r="N28" s="231">
        <f t="shared" si="12"/>
        <v>0</v>
      </c>
      <c r="O28" s="231">
        <f t="shared" si="12"/>
        <v>0</v>
      </c>
      <c r="P28" s="231">
        <f t="shared" si="12"/>
        <v>0</v>
      </c>
      <c r="Q28" s="231">
        <f t="shared" si="12"/>
        <v>0</v>
      </c>
      <c r="R28" s="231">
        <f t="shared" si="12"/>
        <v>0</v>
      </c>
      <c r="S28" s="231">
        <f t="shared" si="12"/>
        <v>0</v>
      </c>
      <c r="T28" s="231">
        <f t="shared" si="12"/>
        <v>0</v>
      </c>
      <c r="U28" s="231">
        <f t="shared" si="12"/>
        <v>0</v>
      </c>
      <c r="V28" s="231">
        <f t="shared" si="12"/>
        <v>0</v>
      </c>
      <c r="W28" s="231">
        <f t="shared" si="12"/>
        <v>0</v>
      </c>
      <c r="X28" s="231">
        <f t="shared" si="12"/>
        <v>0</v>
      </c>
      <c r="Y28" s="231">
        <f t="shared" si="12"/>
        <v>0</v>
      </c>
      <c r="Z28" s="231">
        <f t="shared" si="12"/>
        <v>0</v>
      </c>
      <c r="AA28" s="231">
        <f t="shared" si="12"/>
        <v>0</v>
      </c>
      <c r="AB28" s="231">
        <f t="shared" si="12"/>
        <v>0</v>
      </c>
      <c r="AC28" s="231">
        <f t="shared" si="12"/>
        <v>0</v>
      </c>
      <c r="AD28" s="231">
        <f t="shared" si="12"/>
        <v>0</v>
      </c>
      <c r="AE28" s="231">
        <f t="shared" si="12"/>
        <v>0</v>
      </c>
      <c r="AF28" s="231">
        <f t="shared" si="12"/>
        <v>0</v>
      </c>
      <c r="AG28" s="231">
        <f t="shared" si="12"/>
        <v>0</v>
      </c>
      <c r="AH28" s="231">
        <f t="shared" si="12"/>
        <v>0</v>
      </c>
      <c r="AI28" s="231">
        <f t="shared" si="12"/>
        <v>0</v>
      </c>
      <c r="AJ28" s="231">
        <f t="shared" si="12"/>
        <v>0</v>
      </c>
      <c r="AK28" s="231">
        <f t="shared" si="12"/>
        <v>0</v>
      </c>
      <c r="AL28" s="231">
        <f t="shared" si="12"/>
        <v>0</v>
      </c>
      <c r="AM28" s="231">
        <f t="shared" si="12"/>
        <v>0</v>
      </c>
      <c r="AN28" s="231">
        <f t="shared" si="12"/>
        <v>0</v>
      </c>
      <c r="AO28" s="231">
        <f t="shared" si="12"/>
        <v>0</v>
      </c>
      <c r="AP28" s="231">
        <f t="shared" si="12"/>
        <v>0</v>
      </c>
      <c r="AQ28" s="231">
        <f t="shared" si="12"/>
        <v>0</v>
      </c>
      <c r="AR28" s="231">
        <f t="shared" si="12"/>
        <v>0</v>
      </c>
      <c r="AS28" s="231">
        <f t="shared" ref="AS28:BX28" si="13">SUM(AS25:AS27)</f>
        <v>0</v>
      </c>
      <c r="AT28" s="231">
        <f t="shared" si="13"/>
        <v>0</v>
      </c>
      <c r="AU28" s="231">
        <f t="shared" si="13"/>
        <v>0</v>
      </c>
      <c r="AV28" s="231">
        <f t="shared" si="13"/>
        <v>0</v>
      </c>
      <c r="AW28" s="231">
        <f t="shared" si="13"/>
        <v>0</v>
      </c>
      <c r="AX28" s="231">
        <f t="shared" si="13"/>
        <v>0</v>
      </c>
      <c r="AY28" s="231">
        <f t="shared" si="13"/>
        <v>0</v>
      </c>
      <c r="AZ28" s="231">
        <f t="shared" si="13"/>
        <v>0</v>
      </c>
      <c r="BA28" s="231">
        <f t="shared" si="13"/>
        <v>0</v>
      </c>
      <c r="BB28" s="231">
        <f t="shared" si="13"/>
        <v>0</v>
      </c>
      <c r="BC28" s="231">
        <f t="shared" si="13"/>
        <v>0</v>
      </c>
      <c r="BD28" s="231">
        <f t="shared" si="13"/>
        <v>0</v>
      </c>
      <c r="BE28" s="231">
        <f t="shared" si="13"/>
        <v>0</v>
      </c>
      <c r="BF28" s="231">
        <f t="shared" si="13"/>
        <v>0</v>
      </c>
      <c r="BG28" s="231">
        <f t="shared" si="13"/>
        <v>0</v>
      </c>
      <c r="BH28" s="231">
        <f t="shared" si="13"/>
        <v>0</v>
      </c>
      <c r="BI28" s="231">
        <f t="shared" si="13"/>
        <v>0</v>
      </c>
      <c r="BJ28" s="231">
        <f t="shared" si="13"/>
        <v>0</v>
      </c>
      <c r="BK28" s="231">
        <f t="shared" si="13"/>
        <v>0</v>
      </c>
      <c r="BL28" s="231">
        <f t="shared" si="13"/>
        <v>0</v>
      </c>
      <c r="BM28" s="231">
        <f t="shared" si="13"/>
        <v>0</v>
      </c>
      <c r="BN28" s="231">
        <f t="shared" si="13"/>
        <v>0</v>
      </c>
      <c r="BO28" s="231">
        <f t="shared" si="13"/>
        <v>0</v>
      </c>
      <c r="BP28" s="231">
        <f t="shared" si="13"/>
        <v>0</v>
      </c>
      <c r="BQ28" s="231">
        <f t="shared" si="13"/>
        <v>0</v>
      </c>
      <c r="BR28" s="231">
        <f t="shared" si="13"/>
        <v>0</v>
      </c>
      <c r="BS28" s="231">
        <f t="shared" si="13"/>
        <v>0</v>
      </c>
      <c r="BT28" s="231">
        <f t="shared" si="13"/>
        <v>0</v>
      </c>
      <c r="BU28" s="35"/>
      <c r="BV28" s="231">
        <f>SUM(BV25:BV27)</f>
        <v>0</v>
      </c>
      <c r="BW28" s="231">
        <f>SUM(BW25:BW27)</f>
        <v>0</v>
      </c>
      <c r="BX28" s="231">
        <f>SUM(BX25:BX27)</f>
        <v>0</v>
      </c>
      <c r="BY28" s="231">
        <f>SUM(BY25:BY27)</f>
        <v>0</v>
      </c>
      <c r="BZ28" s="231">
        <f>SUM(BZ25:BZ27)</f>
        <v>0</v>
      </c>
    </row>
    <row r="29" spans="1:78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BU29" s="35"/>
    </row>
    <row r="30" spans="1:78">
      <c r="A30" s="217" t="s">
        <v>182</v>
      </c>
      <c r="B30" s="217"/>
      <c r="C30" s="230"/>
      <c r="D30" s="230"/>
      <c r="E30" s="230"/>
      <c r="F30" s="230"/>
      <c r="G30" s="97"/>
      <c r="H30" s="97"/>
      <c r="I30" s="97"/>
      <c r="J30" s="97"/>
      <c r="K30" s="97"/>
      <c r="BU30" s="35"/>
    </row>
    <row r="31" spans="1:78">
      <c r="A31" s="217" t="s">
        <v>137</v>
      </c>
      <c r="B31" s="217" t="s">
        <v>183</v>
      </c>
      <c r="C31" s="230"/>
      <c r="D31" s="230"/>
      <c r="E31" s="230"/>
      <c r="F31" s="230"/>
      <c r="G31" s="97"/>
      <c r="H31" s="97"/>
      <c r="I31" s="97"/>
      <c r="J31" s="97"/>
      <c r="K31" s="9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35"/>
      <c r="BV31" s="145">
        <f t="shared" ref="BV31:BZ34" si="14">INDEX($M31:$BT31,MATCH(BV$4,$M$4:$BT$4,0))</f>
        <v>0</v>
      </c>
      <c r="BW31" s="145">
        <f t="shared" si="14"/>
        <v>0</v>
      </c>
      <c r="BX31" s="145">
        <f t="shared" si="14"/>
        <v>0</v>
      </c>
      <c r="BY31" s="145">
        <f t="shared" si="14"/>
        <v>0</v>
      </c>
      <c r="BZ31" s="145">
        <f t="shared" si="14"/>
        <v>0</v>
      </c>
    </row>
    <row r="32" spans="1:78">
      <c r="A32" s="217" t="s">
        <v>137</v>
      </c>
      <c r="B32" s="217" t="s">
        <v>184</v>
      </c>
      <c r="C32" s="230"/>
      <c r="D32" s="230"/>
      <c r="E32" s="230"/>
      <c r="F32" s="230"/>
      <c r="G32" s="97"/>
      <c r="H32" s="97"/>
      <c r="I32" s="97"/>
      <c r="J32" s="97"/>
      <c r="K32" s="97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35"/>
      <c r="BV32" s="145">
        <f t="shared" si="14"/>
        <v>0</v>
      </c>
      <c r="BW32" s="145">
        <f t="shared" si="14"/>
        <v>0</v>
      </c>
      <c r="BX32" s="145">
        <f t="shared" si="14"/>
        <v>0</v>
      </c>
      <c r="BY32" s="145">
        <f t="shared" si="14"/>
        <v>0</v>
      </c>
      <c r="BZ32" s="145">
        <f t="shared" si="14"/>
        <v>0</v>
      </c>
    </row>
    <row r="33" spans="1:78">
      <c r="A33" s="217" t="s">
        <v>137</v>
      </c>
      <c r="B33" s="217" t="s">
        <v>185</v>
      </c>
      <c r="C33" s="230"/>
      <c r="D33" s="230"/>
      <c r="E33" s="230"/>
      <c r="F33" s="230"/>
      <c r="G33" s="97"/>
      <c r="H33" s="97"/>
      <c r="I33" s="97"/>
      <c r="J33" s="97"/>
      <c r="K33" s="97"/>
      <c r="M33" s="135">
        <f>CFS!M43</f>
        <v>-26531.164142303656</v>
      </c>
      <c r="N33" s="135">
        <f>CFS!N43</f>
        <v>-53104.529662530549</v>
      </c>
      <c r="O33" s="135">
        <f>CFS!O43</f>
        <v>-76095.730586746198</v>
      </c>
      <c r="P33" s="135">
        <f>CFS!P43</f>
        <v>-96880.413621537416</v>
      </c>
      <c r="Q33" s="135">
        <f>CFS!Q43</f>
        <v>-117709.23840762279</v>
      </c>
      <c r="R33" s="135">
        <f>CFS!R43</f>
        <v>-135924.69659049375</v>
      </c>
      <c r="S33" s="135">
        <f>CFS!S43</f>
        <v>-152786.67762209871</v>
      </c>
      <c r="T33" s="135">
        <f>CFS!T43</f>
        <v>-169696.47494084161</v>
      </c>
      <c r="U33" s="135">
        <f>CFS!U43</f>
        <v>-183029.80256305027</v>
      </c>
      <c r="V33" s="135">
        <f>CFS!V43</f>
        <v>-194162.38878537907</v>
      </c>
      <c r="W33" s="135">
        <f>CFS!W43</f>
        <v>-205344.97647041545</v>
      </c>
      <c r="X33" s="135">
        <f>CFS!X43</f>
        <v>-212953.32333799865</v>
      </c>
      <c r="Y33" s="135">
        <f>CFS!Y43</f>
        <v>-221118.54686057573</v>
      </c>
      <c r="Z33" s="135">
        <f>CFS!Z43</f>
        <v>-229337.70616775594</v>
      </c>
      <c r="AA33" s="135">
        <f>CFS!AA43</f>
        <v>-233986.60535789441</v>
      </c>
      <c r="AB33" s="135">
        <f>CFS!AB43</f>
        <v>-236441.06461131337</v>
      </c>
      <c r="AC33" s="135">
        <f>CFS!AC43</f>
        <v>-238951.92051194148</v>
      </c>
      <c r="AD33" s="135">
        <f>CFS!AD43</f>
        <v>-237895.02637538599</v>
      </c>
      <c r="AE33" s="135">
        <f>CFS!AE43</f>
        <v>-234646.2525835663</v>
      </c>
      <c r="AF33" s="135">
        <f>CFS!AF43</f>
        <v>-231456.4869260402</v>
      </c>
      <c r="AG33" s="135">
        <f>CFS!AG43</f>
        <v>-225721.66351288639</v>
      </c>
      <c r="AH33" s="135">
        <f>CFS!AH43</f>
        <v>-217798.48513368081</v>
      </c>
      <c r="AI33" s="135">
        <f>CFS!AI43</f>
        <v>-209937.89391780453</v>
      </c>
      <c r="AJ33" s="135">
        <f>CFS!AJ43</f>
        <v>-198515.8508372262</v>
      </c>
      <c r="AK33" s="135">
        <f>CFS!AK43</f>
        <v>-187042.41099235934</v>
      </c>
      <c r="AL33" s="135">
        <f>CFS!AL43</f>
        <v>-175634.49926943466</v>
      </c>
      <c r="AM33" s="135">
        <f>CFS!AM43</f>
        <v>-164293.13545959303</v>
      </c>
      <c r="AN33" s="135">
        <f>CFS!AN43</f>
        <v>-153019.35974979823</v>
      </c>
      <c r="AO33" s="135">
        <f>CFS!AO43</f>
        <v>-141814.23313075321</v>
      </c>
      <c r="AP33" s="135">
        <f>CFS!AP43</f>
        <v>-127053.83781297509</v>
      </c>
      <c r="AQ33" s="135">
        <f>CFS!AQ43</f>
        <v>-110114.27765119125</v>
      </c>
      <c r="AR33" s="135">
        <f>CFS!AR43</f>
        <v>-93246.678577223662</v>
      </c>
      <c r="AS33" s="135">
        <f>CFS!AS43</f>
        <v>-76452.189041530713</v>
      </c>
      <c r="AT33" s="135">
        <f>CFS!AT43</f>
        <v>-59731.980463579966</v>
      </c>
      <c r="AU33" s="135">
        <f>CFS!AU43</f>
        <v>-43087.247691228346</v>
      </c>
      <c r="AV33" s="135">
        <f>CFS!AV43</f>
        <v>-25483.373582258777</v>
      </c>
      <c r="AW33" s="135">
        <f>CFS!AW43</f>
        <v>-8021.9474421435079</v>
      </c>
      <c r="AX33" s="135">
        <f>CFS!AX43</f>
        <v>9359.4653476939129</v>
      </c>
      <c r="AY33" s="135">
        <f>CFS!AY43</f>
        <v>26659.571445506852</v>
      </c>
      <c r="AZ33" s="135">
        <f>CFS!AZ43</f>
        <v>47502.051642713734</v>
      </c>
      <c r="BA33" s="135">
        <f>CFS!BA43</f>
        <v>70510.560346561368</v>
      </c>
      <c r="BB33" s="135">
        <f>CFS!BB43</f>
        <v>93433.725052441499</v>
      </c>
      <c r="BC33" s="135">
        <f>CFS!BC43</f>
        <v>116270.14580565371</v>
      </c>
      <c r="BD33" s="135">
        <f>CFS!BD43</f>
        <v>141516.33359047127</v>
      </c>
      <c r="BE33" s="135">
        <f>CFS!BE43</f>
        <v>168922.08525790635</v>
      </c>
      <c r="BF33" s="135">
        <f>CFS!BF43</f>
        <v>196235.91516483121</v>
      </c>
      <c r="BG33" s="135">
        <f>CFS!BG43</f>
        <v>223456.30795525556</v>
      </c>
      <c r="BH33" s="135">
        <f>CFS!BH43</f>
        <v>254206.71796606932</v>
      </c>
      <c r="BI33" s="135">
        <f>CFS!BI43</f>
        <v>284530.29278110922</v>
      </c>
      <c r="BJ33" s="135">
        <f>CFS!BJ43</f>
        <v>318380.7001322665</v>
      </c>
      <c r="BK33" s="135">
        <f>CFS!BK43</f>
        <v>354381.29974948341</v>
      </c>
      <c r="BL33" s="135">
        <f>CFS!BL43</f>
        <v>393905.41855730111</v>
      </c>
      <c r="BM33" s="135">
        <f>CFS!BM43</f>
        <v>435576.35001875146</v>
      </c>
      <c r="BN33" s="135">
        <f>CFS!BN43</f>
        <v>480767.35346612713</v>
      </c>
      <c r="BO33" s="135">
        <f>CFS!BO43</f>
        <v>528101.65341836645</v>
      </c>
      <c r="BP33" s="135">
        <f>CFS!BP43</f>
        <v>577768.11367802857</v>
      </c>
      <c r="BQ33" s="135">
        <f>CFS!BQ43</f>
        <v>629573.4045433253</v>
      </c>
      <c r="BR33" s="135">
        <f>CFS!BR43</f>
        <v>664435.95308395114</v>
      </c>
      <c r="BS33" s="135">
        <f>CFS!BS43</f>
        <v>701427.87235135608</v>
      </c>
      <c r="BT33" s="135">
        <f>CFS!BT43</f>
        <v>741922.20207098359</v>
      </c>
      <c r="BU33" s="35"/>
      <c r="BV33" s="145">
        <f t="shared" si="14"/>
        <v>-212953.32333799865</v>
      </c>
      <c r="BW33" s="145">
        <f t="shared" si="14"/>
        <v>-198515.8508372262</v>
      </c>
      <c r="BX33" s="145">
        <f t="shared" si="14"/>
        <v>-25483.373582258777</v>
      </c>
      <c r="BY33" s="145">
        <f t="shared" si="14"/>
        <v>254206.71796606932</v>
      </c>
      <c r="BZ33" s="145">
        <f t="shared" si="14"/>
        <v>741922.20207098359</v>
      </c>
    </row>
    <row r="34" spans="1:78">
      <c r="A34" s="217" t="s">
        <v>137</v>
      </c>
      <c r="B34" s="217" t="s">
        <v>186</v>
      </c>
      <c r="C34" s="230"/>
      <c r="D34" s="230"/>
      <c r="E34" s="230"/>
      <c r="F34" s="230"/>
      <c r="G34" s="97"/>
      <c r="H34" s="97"/>
      <c r="I34" s="97"/>
      <c r="J34" s="97"/>
      <c r="K34" s="97"/>
      <c r="BU34" s="35"/>
      <c r="BV34" s="145">
        <f t="shared" si="14"/>
        <v>0</v>
      </c>
      <c r="BW34" s="145">
        <f t="shared" si="14"/>
        <v>0</v>
      </c>
      <c r="BX34" s="145">
        <f t="shared" si="14"/>
        <v>0</v>
      </c>
      <c r="BY34" s="145">
        <f t="shared" si="14"/>
        <v>0</v>
      </c>
      <c r="BZ34" s="145">
        <f t="shared" si="14"/>
        <v>0</v>
      </c>
    </row>
    <row r="35" spans="1:78" ht="15.6">
      <c r="A35" s="218"/>
      <c r="B35" s="219" t="s">
        <v>187</v>
      </c>
      <c r="C35" s="219"/>
      <c r="D35" s="219"/>
      <c r="E35" s="219"/>
      <c r="F35" s="219"/>
      <c r="G35" s="160"/>
      <c r="H35" s="160"/>
      <c r="I35" s="160"/>
      <c r="J35" s="160"/>
      <c r="K35" s="160"/>
      <c r="L35" s="28"/>
      <c r="M35" s="153">
        <f t="shared" ref="M35:AR35" si="15">SUM(M31:M34)</f>
        <v>-26531.164142303656</v>
      </c>
      <c r="N35" s="153">
        <f t="shared" si="15"/>
        <v>-53104.529662530549</v>
      </c>
      <c r="O35" s="153">
        <f t="shared" si="15"/>
        <v>-76095.730586746198</v>
      </c>
      <c r="P35" s="153">
        <f t="shared" si="15"/>
        <v>-96880.413621537416</v>
      </c>
      <c r="Q35" s="153">
        <f t="shared" si="15"/>
        <v>-117709.23840762279</v>
      </c>
      <c r="R35" s="153">
        <f t="shared" si="15"/>
        <v>-135924.69659049375</v>
      </c>
      <c r="S35" s="153">
        <f t="shared" si="15"/>
        <v>-152786.67762209871</v>
      </c>
      <c r="T35" s="153">
        <f t="shared" si="15"/>
        <v>-169696.47494084161</v>
      </c>
      <c r="U35" s="153">
        <f t="shared" si="15"/>
        <v>-183029.80256305027</v>
      </c>
      <c r="V35" s="153">
        <f t="shared" si="15"/>
        <v>-194162.38878537907</v>
      </c>
      <c r="W35" s="153">
        <f t="shared" si="15"/>
        <v>-205344.97647041545</v>
      </c>
      <c r="X35" s="153">
        <f t="shared" si="15"/>
        <v>-212953.32333799865</v>
      </c>
      <c r="Y35" s="153">
        <f t="shared" si="15"/>
        <v>-221118.54686057573</v>
      </c>
      <c r="Z35" s="153">
        <f t="shared" si="15"/>
        <v>-229337.70616775594</v>
      </c>
      <c r="AA35" s="153">
        <f t="shared" si="15"/>
        <v>-233986.60535789441</v>
      </c>
      <c r="AB35" s="153">
        <f t="shared" si="15"/>
        <v>-236441.06461131337</v>
      </c>
      <c r="AC35" s="153">
        <f t="shared" si="15"/>
        <v>-238951.92051194148</v>
      </c>
      <c r="AD35" s="153">
        <f t="shared" si="15"/>
        <v>-237895.02637538599</v>
      </c>
      <c r="AE35" s="153">
        <f t="shared" si="15"/>
        <v>-234646.2525835663</v>
      </c>
      <c r="AF35" s="153">
        <f t="shared" si="15"/>
        <v>-231456.4869260402</v>
      </c>
      <c r="AG35" s="153">
        <f t="shared" si="15"/>
        <v>-225721.66351288639</v>
      </c>
      <c r="AH35" s="153">
        <f t="shared" si="15"/>
        <v>-217798.48513368081</v>
      </c>
      <c r="AI35" s="153">
        <f t="shared" si="15"/>
        <v>-209937.89391780453</v>
      </c>
      <c r="AJ35" s="153">
        <f t="shared" si="15"/>
        <v>-198515.8508372262</v>
      </c>
      <c r="AK35" s="153">
        <f t="shared" si="15"/>
        <v>-187042.41099235934</v>
      </c>
      <c r="AL35" s="153">
        <f t="shared" si="15"/>
        <v>-175634.49926943466</v>
      </c>
      <c r="AM35" s="153">
        <f t="shared" si="15"/>
        <v>-164293.13545959303</v>
      </c>
      <c r="AN35" s="153">
        <f t="shared" si="15"/>
        <v>-153019.35974979823</v>
      </c>
      <c r="AO35" s="153">
        <f t="shared" si="15"/>
        <v>-141814.23313075321</v>
      </c>
      <c r="AP35" s="153">
        <f t="shared" si="15"/>
        <v>-127053.83781297509</v>
      </c>
      <c r="AQ35" s="153">
        <f t="shared" si="15"/>
        <v>-110114.27765119125</v>
      </c>
      <c r="AR35" s="153">
        <f t="shared" si="15"/>
        <v>-93246.678577223662</v>
      </c>
      <c r="AS35" s="153">
        <f t="shared" ref="AS35:BX35" si="16">SUM(AS31:AS34)</f>
        <v>-76452.189041530713</v>
      </c>
      <c r="AT35" s="153">
        <f t="shared" si="16"/>
        <v>-59731.980463579966</v>
      </c>
      <c r="AU35" s="153">
        <f t="shared" si="16"/>
        <v>-43087.247691228346</v>
      </c>
      <c r="AV35" s="153">
        <f t="shared" si="16"/>
        <v>-25483.373582258777</v>
      </c>
      <c r="AW35" s="153">
        <f t="shared" si="16"/>
        <v>-8021.9474421435079</v>
      </c>
      <c r="AX35" s="153">
        <f t="shared" si="16"/>
        <v>9359.4653476939129</v>
      </c>
      <c r="AY35" s="153">
        <f t="shared" si="16"/>
        <v>26659.571445506852</v>
      </c>
      <c r="AZ35" s="153">
        <f t="shared" si="16"/>
        <v>47502.051642713734</v>
      </c>
      <c r="BA35" s="153">
        <f t="shared" si="16"/>
        <v>70510.560346561368</v>
      </c>
      <c r="BB35" s="153">
        <f t="shared" si="16"/>
        <v>93433.725052441499</v>
      </c>
      <c r="BC35" s="153">
        <f t="shared" si="16"/>
        <v>116270.14580565371</v>
      </c>
      <c r="BD35" s="153">
        <f t="shared" si="16"/>
        <v>141516.33359047127</v>
      </c>
      <c r="BE35" s="153">
        <f t="shared" si="16"/>
        <v>168922.08525790635</v>
      </c>
      <c r="BF35" s="153">
        <f t="shared" si="16"/>
        <v>196235.91516483121</v>
      </c>
      <c r="BG35" s="153">
        <f t="shared" si="16"/>
        <v>223456.30795525556</v>
      </c>
      <c r="BH35" s="153">
        <f t="shared" si="16"/>
        <v>254206.71796606932</v>
      </c>
      <c r="BI35" s="153">
        <f t="shared" si="16"/>
        <v>284530.29278110922</v>
      </c>
      <c r="BJ35" s="153">
        <f t="shared" si="16"/>
        <v>318380.7001322665</v>
      </c>
      <c r="BK35" s="153">
        <f t="shared" si="16"/>
        <v>354381.29974948341</v>
      </c>
      <c r="BL35" s="153">
        <f t="shared" si="16"/>
        <v>393905.41855730111</v>
      </c>
      <c r="BM35" s="153">
        <f t="shared" si="16"/>
        <v>435576.35001875146</v>
      </c>
      <c r="BN35" s="153">
        <f t="shared" si="16"/>
        <v>480767.35346612713</v>
      </c>
      <c r="BO35" s="153">
        <f t="shared" si="16"/>
        <v>528101.65341836645</v>
      </c>
      <c r="BP35" s="153">
        <f t="shared" si="16"/>
        <v>577768.11367802857</v>
      </c>
      <c r="BQ35" s="153">
        <f t="shared" si="16"/>
        <v>629573.4045433253</v>
      </c>
      <c r="BR35" s="153">
        <f t="shared" si="16"/>
        <v>664435.95308395114</v>
      </c>
      <c r="BS35" s="153">
        <f t="shared" si="16"/>
        <v>701427.87235135608</v>
      </c>
      <c r="BT35" s="153">
        <f t="shared" si="16"/>
        <v>741922.20207098359</v>
      </c>
      <c r="BU35" s="35"/>
      <c r="BV35" s="153">
        <f>SUM(BV31:BV34)</f>
        <v>-212953.32333799865</v>
      </c>
      <c r="BW35" s="153">
        <f>SUM(BW31:BW34)</f>
        <v>-198515.8508372262</v>
      </c>
      <c r="BX35" s="153">
        <f>SUM(BX31:BX34)</f>
        <v>-25483.373582258777</v>
      </c>
      <c r="BY35" s="153">
        <f>SUM(BY31:BY34)</f>
        <v>254206.71796606932</v>
      </c>
      <c r="BZ35" s="153">
        <f>SUM(BZ31:BZ34)</f>
        <v>741922.20207098359</v>
      </c>
    </row>
    <row r="36" spans="1:78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BU36" s="35"/>
    </row>
    <row r="37" spans="1:78" ht="15.6">
      <c r="A37" s="227"/>
      <c r="B37" s="228" t="s">
        <v>188</v>
      </c>
      <c r="C37" s="232"/>
      <c r="D37" s="227"/>
      <c r="E37" s="233"/>
      <c r="F37" s="233"/>
      <c r="G37" s="233"/>
      <c r="H37" s="233"/>
      <c r="I37" s="233"/>
      <c r="J37" s="198"/>
      <c r="K37" s="198"/>
      <c r="L37" s="198"/>
      <c r="M37" s="199">
        <f t="shared" ref="M37:AR37" si="17">M28+M35</f>
        <v>-26531.164142303656</v>
      </c>
      <c r="N37" s="199">
        <f t="shared" si="17"/>
        <v>-53104.529662530549</v>
      </c>
      <c r="O37" s="199">
        <f t="shared" si="17"/>
        <v>-76095.730586746198</v>
      </c>
      <c r="P37" s="199">
        <f t="shared" si="17"/>
        <v>-96880.413621537416</v>
      </c>
      <c r="Q37" s="199">
        <f t="shared" si="17"/>
        <v>-117709.23840762279</v>
      </c>
      <c r="R37" s="199">
        <f t="shared" si="17"/>
        <v>-135924.69659049375</v>
      </c>
      <c r="S37" s="199">
        <f t="shared" si="17"/>
        <v>-152786.67762209871</v>
      </c>
      <c r="T37" s="199">
        <f t="shared" si="17"/>
        <v>-169696.47494084161</v>
      </c>
      <c r="U37" s="199">
        <f t="shared" si="17"/>
        <v>-183029.80256305027</v>
      </c>
      <c r="V37" s="199">
        <f t="shared" si="17"/>
        <v>-194162.38878537907</v>
      </c>
      <c r="W37" s="199">
        <f t="shared" si="17"/>
        <v>-205344.97647041545</v>
      </c>
      <c r="X37" s="199">
        <f t="shared" si="17"/>
        <v>-212953.32333799865</v>
      </c>
      <c r="Y37" s="199">
        <f t="shared" si="17"/>
        <v>-221118.54686057573</v>
      </c>
      <c r="Z37" s="199">
        <f t="shared" si="17"/>
        <v>-229337.70616775594</v>
      </c>
      <c r="AA37" s="199">
        <f t="shared" si="17"/>
        <v>-233986.60535789441</v>
      </c>
      <c r="AB37" s="199">
        <f t="shared" si="17"/>
        <v>-236441.06461131337</v>
      </c>
      <c r="AC37" s="199">
        <f t="shared" si="17"/>
        <v>-238951.92051194148</v>
      </c>
      <c r="AD37" s="199">
        <f t="shared" si="17"/>
        <v>-237895.02637538599</v>
      </c>
      <c r="AE37" s="199">
        <f t="shared" si="17"/>
        <v>-234646.2525835663</v>
      </c>
      <c r="AF37" s="199">
        <f t="shared" si="17"/>
        <v>-231456.4869260402</v>
      </c>
      <c r="AG37" s="199">
        <f t="shared" si="17"/>
        <v>-225721.66351288639</v>
      </c>
      <c r="AH37" s="199">
        <f t="shared" si="17"/>
        <v>-217798.48513368081</v>
      </c>
      <c r="AI37" s="199">
        <f t="shared" si="17"/>
        <v>-209937.89391780453</v>
      </c>
      <c r="AJ37" s="199">
        <f t="shared" si="17"/>
        <v>-198515.8508372262</v>
      </c>
      <c r="AK37" s="199">
        <f t="shared" si="17"/>
        <v>-187042.41099235934</v>
      </c>
      <c r="AL37" s="199">
        <f t="shared" si="17"/>
        <v>-175634.49926943466</v>
      </c>
      <c r="AM37" s="199">
        <f t="shared" si="17"/>
        <v>-164293.13545959303</v>
      </c>
      <c r="AN37" s="199">
        <f t="shared" si="17"/>
        <v>-153019.35974979823</v>
      </c>
      <c r="AO37" s="199">
        <f t="shared" si="17"/>
        <v>-141814.23313075321</v>
      </c>
      <c r="AP37" s="199">
        <f t="shared" si="17"/>
        <v>-127053.83781297509</v>
      </c>
      <c r="AQ37" s="199">
        <f t="shared" si="17"/>
        <v>-110114.27765119125</v>
      </c>
      <c r="AR37" s="199">
        <f t="shared" si="17"/>
        <v>-93246.678577223662</v>
      </c>
      <c r="AS37" s="199">
        <f t="shared" ref="AS37:BT37" si="18">AS28+AS35</f>
        <v>-76452.189041530713</v>
      </c>
      <c r="AT37" s="199">
        <f t="shared" si="18"/>
        <v>-59731.980463579966</v>
      </c>
      <c r="AU37" s="199">
        <f t="shared" si="18"/>
        <v>-43087.247691228346</v>
      </c>
      <c r="AV37" s="199">
        <f t="shared" si="18"/>
        <v>-25483.373582258777</v>
      </c>
      <c r="AW37" s="199">
        <f t="shared" si="18"/>
        <v>-8021.9474421435079</v>
      </c>
      <c r="AX37" s="199">
        <f t="shared" si="18"/>
        <v>9359.4653476939129</v>
      </c>
      <c r="AY37" s="199">
        <f t="shared" si="18"/>
        <v>26659.571445506852</v>
      </c>
      <c r="AZ37" s="199">
        <f t="shared" si="18"/>
        <v>47502.051642713734</v>
      </c>
      <c r="BA37" s="199">
        <f t="shared" si="18"/>
        <v>70510.560346561368</v>
      </c>
      <c r="BB37" s="199">
        <f t="shared" si="18"/>
        <v>93433.725052441499</v>
      </c>
      <c r="BC37" s="199">
        <f t="shared" si="18"/>
        <v>116270.14580565371</v>
      </c>
      <c r="BD37" s="199">
        <f t="shared" si="18"/>
        <v>141516.33359047127</v>
      </c>
      <c r="BE37" s="199">
        <f t="shared" si="18"/>
        <v>168922.08525790635</v>
      </c>
      <c r="BF37" s="199">
        <f t="shared" si="18"/>
        <v>196235.91516483121</v>
      </c>
      <c r="BG37" s="199">
        <f t="shared" si="18"/>
        <v>223456.30795525556</v>
      </c>
      <c r="BH37" s="199">
        <f t="shared" si="18"/>
        <v>254206.71796606932</v>
      </c>
      <c r="BI37" s="199">
        <f t="shared" si="18"/>
        <v>284530.29278110922</v>
      </c>
      <c r="BJ37" s="199">
        <f t="shared" si="18"/>
        <v>318380.7001322665</v>
      </c>
      <c r="BK37" s="199">
        <f t="shared" si="18"/>
        <v>354381.29974948341</v>
      </c>
      <c r="BL37" s="199">
        <f t="shared" si="18"/>
        <v>393905.41855730111</v>
      </c>
      <c r="BM37" s="199">
        <f t="shared" si="18"/>
        <v>435576.35001875146</v>
      </c>
      <c r="BN37" s="199">
        <f t="shared" si="18"/>
        <v>480767.35346612713</v>
      </c>
      <c r="BO37" s="199">
        <f t="shared" si="18"/>
        <v>528101.65341836645</v>
      </c>
      <c r="BP37" s="199">
        <f t="shared" si="18"/>
        <v>577768.11367802857</v>
      </c>
      <c r="BQ37" s="199">
        <f t="shared" si="18"/>
        <v>629573.4045433253</v>
      </c>
      <c r="BR37" s="199">
        <f t="shared" si="18"/>
        <v>664435.95308395114</v>
      </c>
      <c r="BS37" s="199">
        <f t="shared" si="18"/>
        <v>701427.87235135608</v>
      </c>
      <c r="BT37" s="199">
        <f t="shared" si="18"/>
        <v>741922.20207098359</v>
      </c>
      <c r="BU37" s="35"/>
      <c r="BV37" s="199">
        <f>BV28+BV35</f>
        <v>-212953.32333799865</v>
      </c>
      <c r="BW37" s="199">
        <f>BW28+BW35</f>
        <v>-198515.8508372262</v>
      </c>
      <c r="BX37" s="199">
        <f>BX28+BX35</f>
        <v>-25483.373582258777</v>
      </c>
      <c r="BY37" s="199">
        <f>BY28+BY35</f>
        <v>254206.71796606932</v>
      </c>
      <c r="BZ37" s="199">
        <f>BZ28+BZ35</f>
        <v>741922.20207098359</v>
      </c>
    </row>
    <row r="38" spans="1:78" ht="15.6">
      <c r="A38" s="234" t="s">
        <v>189</v>
      </c>
      <c r="B38" s="234"/>
      <c r="C38" s="234"/>
      <c r="D38" s="234"/>
      <c r="E38" s="234"/>
      <c r="F38" s="234"/>
      <c r="G38" s="97"/>
      <c r="H38" s="97"/>
      <c r="I38" s="97"/>
      <c r="J38" s="97"/>
      <c r="K38" s="97"/>
      <c r="M38" s="235">
        <f t="shared" ref="M38:AR38" si="19">M37-M20</f>
        <v>0</v>
      </c>
      <c r="N38" s="235">
        <f t="shared" si="19"/>
        <v>0</v>
      </c>
      <c r="O38" s="235">
        <f t="shared" si="19"/>
        <v>0</v>
      </c>
      <c r="P38" s="235">
        <f t="shared" si="19"/>
        <v>0</v>
      </c>
      <c r="Q38" s="235">
        <f t="shared" si="19"/>
        <v>0</v>
      </c>
      <c r="R38" s="235">
        <f t="shared" si="19"/>
        <v>0</v>
      </c>
      <c r="S38" s="235">
        <f t="shared" si="19"/>
        <v>0</v>
      </c>
      <c r="T38" s="235">
        <f t="shared" si="19"/>
        <v>0</v>
      </c>
      <c r="U38" s="235">
        <f t="shared" si="19"/>
        <v>0</v>
      </c>
      <c r="V38" s="235">
        <f t="shared" si="19"/>
        <v>0</v>
      </c>
      <c r="W38" s="235">
        <f t="shared" si="19"/>
        <v>0</v>
      </c>
      <c r="X38" s="235">
        <f t="shared" si="19"/>
        <v>0</v>
      </c>
      <c r="Y38" s="235">
        <f t="shared" si="19"/>
        <v>0</v>
      </c>
      <c r="Z38" s="235">
        <f t="shared" si="19"/>
        <v>0</v>
      </c>
      <c r="AA38" s="235">
        <f t="shared" si="19"/>
        <v>0</v>
      </c>
      <c r="AB38" s="235">
        <f t="shared" si="19"/>
        <v>0</v>
      </c>
      <c r="AC38" s="235">
        <f t="shared" si="19"/>
        <v>0</v>
      </c>
      <c r="AD38" s="235">
        <f t="shared" si="19"/>
        <v>0</v>
      </c>
      <c r="AE38" s="235">
        <f t="shared" si="19"/>
        <v>0</v>
      </c>
      <c r="AF38" s="235">
        <f t="shared" si="19"/>
        <v>0</v>
      </c>
      <c r="AG38" s="235">
        <f t="shared" si="19"/>
        <v>0</v>
      </c>
      <c r="AH38" s="235">
        <f t="shared" si="19"/>
        <v>0</v>
      </c>
      <c r="AI38" s="235">
        <f t="shared" si="19"/>
        <v>0</v>
      </c>
      <c r="AJ38" s="235">
        <f t="shared" si="19"/>
        <v>0</v>
      </c>
      <c r="AK38" s="235">
        <f t="shared" si="19"/>
        <v>0</v>
      </c>
      <c r="AL38" s="235">
        <f t="shared" si="19"/>
        <v>0</v>
      </c>
      <c r="AM38" s="235">
        <f t="shared" si="19"/>
        <v>0</v>
      </c>
      <c r="AN38" s="235">
        <f t="shared" si="19"/>
        <v>0</v>
      </c>
      <c r="AO38" s="235">
        <f t="shared" si="19"/>
        <v>0</v>
      </c>
      <c r="AP38" s="235">
        <f t="shared" si="19"/>
        <v>0</v>
      </c>
      <c r="AQ38" s="235">
        <f t="shared" si="19"/>
        <v>0</v>
      </c>
      <c r="AR38" s="235">
        <f t="shared" si="19"/>
        <v>0</v>
      </c>
      <c r="AS38" s="235">
        <f t="shared" ref="AS38:BX38" si="20">AS37-AS20</f>
        <v>0</v>
      </c>
      <c r="AT38" s="235">
        <f t="shared" si="20"/>
        <v>0</v>
      </c>
      <c r="AU38" s="235">
        <f t="shared" si="20"/>
        <v>0</v>
      </c>
      <c r="AV38" s="235">
        <f t="shared" si="20"/>
        <v>0</v>
      </c>
      <c r="AW38" s="235">
        <f t="shared" si="20"/>
        <v>0</v>
      </c>
      <c r="AX38" s="235">
        <f t="shared" si="20"/>
        <v>0</v>
      </c>
      <c r="AY38" s="235">
        <f t="shared" si="20"/>
        <v>0</v>
      </c>
      <c r="AZ38" s="235">
        <f t="shared" si="20"/>
        <v>0</v>
      </c>
      <c r="BA38" s="235">
        <f t="shared" si="20"/>
        <v>0</v>
      </c>
      <c r="BB38" s="235">
        <f t="shared" si="20"/>
        <v>0</v>
      </c>
      <c r="BC38" s="235">
        <f t="shared" si="20"/>
        <v>0</v>
      </c>
      <c r="BD38" s="235">
        <f t="shared" si="20"/>
        <v>0</v>
      </c>
      <c r="BE38" s="235">
        <f t="shared" si="20"/>
        <v>0</v>
      </c>
      <c r="BF38" s="235">
        <f t="shared" si="20"/>
        <v>0</v>
      </c>
      <c r="BG38" s="235">
        <f t="shared" si="20"/>
        <v>0</v>
      </c>
      <c r="BH38" s="235">
        <f t="shared" si="20"/>
        <v>0</v>
      </c>
      <c r="BI38" s="235">
        <f t="shared" si="20"/>
        <v>0</v>
      </c>
      <c r="BJ38" s="235">
        <f t="shared" si="20"/>
        <v>0</v>
      </c>
      <c r="BK38" s="235">
        <f t="shared" si="20"/>
        <v>0</v>
      </c>
      <c r="BL38" s="235">
        <f t="shared" si="20"/>
        <v>0</v>
      </c>
      <c r="BM38" s="235">
        <f t="shared" si="20"/>
        <v>0</v>
      </c>
      <c r="BN38" s="235">
        <f t="shared" si="20"/>
        <v>0</v>
      </c>
      <c r="BO38" s="235">
        <f t="shared" si="20"/>
        <v>0</v>
      </c>
      <c r="BP38" s="235">
        <f t="shared" si="20"/>
        <v>0</v>
      </c>
      <c r="BQ38" s="235">
        <f t="shared" si="20"/>
        <v>0</v>
      </c>
      <c r="BR38" s="235">
        <f t="shared" si="20"/>
        <v>0</v>
      </c>
      <c r="BS38" s="235">
        <f t="shared" si="20"/>
        <v>0</v>
      </c>
      <c r="BT38" s="235">
        <f t="shared" si="20"/>
        <v>0</v>
      </c>
      <c r="BU38" s="35"/>
      <c r="BV38" s="235">
        <f>BV37-BV20</f>
        <v>0</v>
      </c>
      <c r="BW38" s="235">
        <f>BW37-BW20</f>
        <v>0</v>
      </c>
      <c r="BX38" s="235">
        <f>BX37-BX20</f>
        <v>0</v>
      </c>
      <c r="BY38" s="235">
        <f>BY37-BY20</f>
        <v>0</v>
      </c>
      <c r="BZ38" s="235">
        <f>BZ37-BZ20</f>
        <v>0</v>
      </c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9"/>
  <sheetViews>
    <sheetView showGridLines="0" zoomScale="125" zoomScaleNormal="125" workbookViewId="0">
      <pane xSplit="12" ySplit="4" topLeftCell="M16" activePane="bottomRight" state="frozen"/>
      <selection pane="topRight" activeCell="M1" sqref="M1"/>
      <selection pane="bottomLeft" activeCell="A16" sqref="A16"/>
      <selection pane="bottomRight" activeCell="BZ4" sqref="BZ4"/>
    </sheetView>
  </sheetViews>
  <sheetFormatPr defaultColWidth="11" defaultRowHeight="15"/>
  <cols>
    <col min="2" max="2" width="10.7265625" customWidth="1"/>
    <col min="3" max="3" width="7.7265625" customWidth="1"/>
    <col min="4" max="12" width="4.7265625" customWidth="1"/>
    <col min="13" max="18" width="12.7265625" customWidth="1"/>
    <col min="19" max="30" width="13.7265625" customWidth="1"/>
    <col min="31" max="31" width="15.81640625" customWidth="1"/>
    <col min="32" max="69" width="13.7265625" customWidth="1"/>
    <col min="70" max="72" width="15.1796875" customWidth="1"/>
  </cols>
  <sheetData>
    <row r="1" spans="1:78" ht="21" customHeight="1">
      <c r="A1" s="24" t="s">
        <v>190</v>
      </c>
      <c r="B1" s="24"/>
      <c r="C1" s="25"/>
      <c r="D1" s="26"/>
      <c r="E1" s="26"/>
      <c r="F1" s="26"/>
      <c r="G1" s="26"/>
      <c r="H1" s="26"/>
      <c r="I1" s="26"/>
      <c r="J1" s="27"/>
      <c r="K1" s="26"/>
      <c r="L1" s="26"/>
      <c r="M1" s="28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1:78" ht="15.75" customHeight="1">
      <c r="A2" s="30" t="s">
        <v>19</v>
      </c>
      <c r="B2" s="30"/>
      <c r="C2" s="25"/>
      <c r="D2" s="26"/>
      <c r="E2" s="26"/>
      <c r="F2" s="26"/>
      <c r="G2" s="26"/>
      <c r="H2" s="26"/>
      <c r="I2" s="26"/>
      <c r="J2" s="27"/>
      <c r="K2" s="26"/>
      <c r="L2" s="26"/>
      <c r="M2" s="3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26"/>
      <c r="BV2" s="3" t="s">
        <v>21</v>
      </c>
      <c r="BW2" s="3"/>
      <c r="BX2" s="3"/>
      <c r="BY2" s="3"/>
      <c r="BZ2" s="3"/>
    </row>
    <row r="3" spans="1:78" ht="15.6">
      <c r="A3" s="31" t="s">
        <v>22</v>
      </c>
      <c r="B3" s="32"/>
      <c r="C3" s="32"/>
      <c r="D3" s="33"/>
      <c r="E3" s="33"/>
      <c r="F3" s="33"/>
      <c r="G3" s="33"/>
      <c r="H3" s="33"/>
      <c r="I3" s="33"/>
      <c r="J3" s="26"/>
      <c r="K3" s="26"/>
      <c r="L3" s="26"/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f>X3+1</f>
        <v>2</v>
      </c>
      <c r="Z3" s="34">
        <f t="shared" ref="Z3:AJ3" si="0">Y3</f>
        <v>2</v>
      </c>
      <c r="AA3" s="34">
        <f t="shared" si="0"/>
        <v>2</v>
      </c>
      <c r="AB3" s="34">
        <f t="shared" si="0"/>
        <v>2</v>
      </c>
      <c r="AC3" s="34">
        <f t="shared" si="0"/>
        <v>2</v>
      </c>
      <c r="AD3" s="34">
        <f t="shared" si="0"/>
        <v>2</v>
      </c>
      <c r="AE3" s="34">
        <f t="shared" si="0"/>
        <v>2</v>
      </c>
      <c r="AF3" s="34">
        <f t="shared" si="0"/>
        <v>2</v>
      </c>
      <c r="AG3" s="34">
        <f t="shared" si="0"/>
        <v>2</v>
      </c>
      <c r="AH3" s="34">
        <f t="shared" si="0"/>
        <v>2</v>
      </c>
      <c r="AI3" s="34">
        <f t="shared" si="0"/>
        <v>2</v>
      </c>
      <c r="AJ3" s="34">
        <f t="shared" si="0"/>
        <v>2</v>
      </c>
      <c r="AK3" s="34">
        <v>3</v>
      </c>
      <c r="AL3" s="34">
        <v>3</v>
      </c>
      <c r="AM3" s="34">
        <v>3</v>
      </c>
      <c r="AN3" s="34">
        <v>3</v>
      </c>
      <c r="AO3" s="34">
        <v>3</v>
      </c>
      <c r="AP3" s="34">
        <v>3</v>
      </c>
      <c r="AQ3" s="34">
        <v>3</v>
      </c>
      <c r="AR3" s="34">
        <v>3</v>
      </c>
      <c r="AS3" s="34">
        <v>3</v>
      </c>
      <c r="AT3" s="34">
        <v>3</v>
      </c>
      <c r="AU3" s="34">
        <v>3</v>
      </c>
      <c r="AV3" s="34">
        <v>3</v>
      </c>
      <c r="AW3" s="34">
        <v>4</v>
      </c>
      <c r="AX3" s="34">
        <v>4</v>
      </c>
      <c r="AY3" s="34">
        <v>4</v>
      </c>
      <c r="AZ3" s="34">
        <v>4</v>
      </c>
      <c r="BA3" s="34">
        <v>4</v>
      </c>
      <c r="BB3" s="34">
        <v>4</v>
      </c>
      <c r="BC3" s="34">
        <v>4</v>
      </c>
      <c r="BD3" s="34">
        <v>4</v>
      </c>
      <c r="BE3" s="34">
        <v>4</v>
      </c>
      <c r="BF3" s="34">
        <v>4</v>
      </c>
      <c r="BG3" s="34">
        <v>4</v>
      </c>
      <c r="BH3" s="34">
        <v>4</v>
      </c>
      <c r="BI3" s="34">
        <v>5</v>
      </c>
      <c r="BJ3" s="34">
        <v>5</v>
      </c>
      <c r="BK3" s="34">
        <v>5</v>
      </c>
      <c r="BL3" s="34">
        <v>5</v>
      </c>
      <c r="BM3" s="34">
        <v>5</v>
      </c>
      <c r="BN3" s="34">
        <v>5</v>
      </c>
      <c r="BO3" s="34">
        <v>5</v>
      </c>
      <c r="BP3" s="34">
        <v>5</v>
      </c>
      <c r="BQ3" s="34">
        <v>5</v>
      </c>
      <c r="BR3" s="34">
        <v>5</v>
      </c>
      <c r="BS3" s="34">
        <v>5</v>
      </c>
      <c r="BT3" s="34">
        <v>5</v>
      </c>
      <c r="BU3" s="40"/>
      <c r="BV3" s="36">
        <v>1</v>
      </c>
      <c r="BW3" s="36">
        <v>2</v>
      </c>
      <c r="BX3" s="36">
        <v>3</v>
      </c>
      <c r="BY3" s="36">
        <v>4</v>
      </c>
      <c r="BZ3" s="36">
        <v>5</v>
      </c>
    </row>
    <row r="4" spans="1:78" ht="15.6">
      <c r="A4" s="37" t="s">
        <v>23</v>
      </c>
      <c r="B4" s="113"/>
      <c r="C4" s="32"/>
      <c r="D4" s="33"/>
      <c r="E4" s="26"/>
      <c r="F4" s="26"/>
      <c r="G4" s="26"/>
      <c r="H4" s="26"/>
      <c r="I4" s="26"/>
      <c r="J4" s="26"/>
      <c r="K4" s="26"/>
      <c r="L4" s="26"/>
      <c r="M4" s="39">
        <v>1</v>
      </c>
      <c r="N4" s="39">
        <f t="shared" ref="N4:X4" si="1">M4+1</f>
        <v>2</v>
      </c>
      <c r="O4" s="39">
        <f t="shared" si="1"/>
        <v>3</v>
      </c>
      <c r="P4" s="39">
        <f t="shared" si="1"/>
        <v>4</v>
      </c>
      <c r="Q4" s="39">
        <f t="shared" si="1"/>
        <v>5</v>
      </c>
      <c r="R4" s="39">
        <f t="shared" si="1"/>
        <v>6</v>
      </c>
      <c r="S4" s="39">
        <f t="shared" si="1"/>
        <v>7</v>
      </c>
      <c r="T4" s="39">
        <f t="shared" si="1"/>
        <v>8</v>
      </c>
      <c r="U4" s="39">
        <f t="shared" si="1"/>
        <v>9</v>
      </c>
      <c r="V4" s="39">
        <f t="shared" si="1"/>
        <v>10</v>
      </c>
      <c r="W4" s="39">
        <f t="shared" si="1"/>
        <v>11</v>
      </c>
      <c r="X4" s="39">
        <f t="shared" si="1"/>
        <v>12</v>
      </c>
      <c r="Y4" s="39">
        <f>X4+1</f>
        <v>13</v>
      </c>
      <c r="Z4" s="39">
        <f t="shared" ref="Z4:BT4" si="2">Y4+1</f>
        <v>14</v>
      </c>
      <c r="AA4" s="39">
        <f t="shared" si="2"/>
        <v>15</v>
      </c>
      <c r="AB4" s="39">
        <f t="shared" si="2"/>
        <v>16</v>
      </c>
      <c r="AC4" s="39">
        <f t="shared" si="2"/>
        <v>17</v>
      </c>
      <c r="AD4" s="39">
        <f t="shared" si="2"/>
        <v>18</v>
      </c>
      <c r="AE4" s="39">
        <f t="shared" si="2"/>
        <v>19</v>
      </c>
      <c r="AF4" s="39">
        <f t="shared" si="2"/>
        <v>20</v>
      </c>
      <c r="AG4" s="39">
        <f t="shared" si="2"/>
        <v>21</v>
      </c>
      <c r="AH4" s="39">
        <f t="shared" si="2"/>
        <v>22</v>
      </c>
      <c r="AI4" s="39">
        <f t="shared" si="2"/>
        <v>23</v>
      </c>
      <c r="AJ4" s="39">
        <f t="shared" si="2"/>
        <v>24</v>
      </c>
      <c r="AK4" s="39">
        <f t="shared" si="2"/>
        <v>25</v>
      </c>
      <c r="AL4" s="39">
        <f t="shared" si="2"/>
        <v>26</v>
      </c>
      <c r="AM4" s="39">
        <f t="shared" si="2"/>
        <v>27</v>
      </c>
      <c r="AN4" s="39">
        <f t="shared" si="2"/>
        <v>28</v>
      </c>
      <c r="AO4" s="39">
        <f t="shared" si="2"/>
        <v>29</v>
      </c>
      <c r="AP4" s="39">
        <f t="shared" si="2"/>
        <v>30</v>
      </c>
      <c r="AQ4" s="39">
        <f t="shared" si="2"/>
        <v>31</v>
      </c>
      <c r="AR4" s="39">
        <f t="shared" si="2"/>
        <v>32</v>
      </c>
      <c r="AS4" s="39">
        <f t="shared" si="2"/>
        <v>33</v>
      </c>
      <c r="AT4" s="39">
        <f t="shared" si="2"/>
        <v>34</v>
      </c>
      <c r="AU4" s="39">
        <f t="shared" si="2"/>
        <v>35</v>
      </c>
      <c r="AV4" s="39">
        <f t="shared" si="2"/>
        <v>36</v>
      </c>
      <c r="AW4" s="39">
        <f t="shared" si="2"/>
        <v>37</v>
      </c>
      <c r="AX4" s="39">
        <f t="shared" si="2"/>
        <v>38</v>
      </c>
      <c r="AY4" s="39">
        <f t="shared" si="2"/>
        <v>39</v>
      </c>
      <c r="AZ4" s="39">
        <f t="shared" si="2"/>
        <v>40</v>
      </c>
      <c r="BA4" s="39">
        <f t="shared" si="2"/>
        <v>41</v>
      </c>
      <c r="BB4" s="39">
        <f t="shared" si="2"/>
        <v>42</v>
      </c>
      <c r="BC4" s="39">
        <f t="shared" si="2"/>
        <v>43</v>
      </c>
      <c r="BD4" s="39">
        <f t="shared" si="2"/>
        <v>44</v>
      </c>
      <c r="BE4" s="39">
        <f t="shared" si="2"/>
        <v>45</v>
      </c>
      <c r="BF4" s="39">
        <f t="shared" si="2"/>
        <v>46</v>
      </c>
      <c r="BG4" s="39">
        <f t="shared" si="2"/>
        <v>47</v>
      </c>
      <c r="BH4" s="39">
        <f t="shared" si="2"/>
        <v>48</v>
      </c>
      <c r="BI4" s="39">
        <f t="shared" si="2"/>
        <v>49</v>
      </c>
      <c r="BJ4" s="39">
        <f t="shared" si="2"/>
        <v>50</v>
      </c>
      <c r="BK4" s="39">
        <f t="shared" si="2"/>
        <v>51</v>
      </c>
      <c r="BL4" s="39">
        <f t="shared" si="2"/>
        <v>52</v>
      </c>
      <c r="BM4" s="39">
        <f t="shared" si="2"/>
        <v>53</v>
      </c>
      <c r="BN4" s="39">
        <f t="shared" si="2"/>
        <v>54</v>
      </c>
      <c r="BO4" s="39">
        <f t="shared" si="2"/>
        <v>55</v>
      </c>
      <c r="BP4" s="39">
        <f t="shared" si="2"/>
        <v>56</v>
      </c>
      <c r="BQ4" s="39">
        <f t="shared" si="2"/>
        <v>57</v>
      </c>
      <c r="BR4" s="39">
        <f t="shared" si="2"/>
        <v>58</v>
      </c>
      <c r="BS4" s="39">
        <f t="shared" si="2"/>
        <v>59</v>
      </c>
      <c r="BT4" s="39">
        <f t="shared" si="2"/>
        <v>60</v>
      </c>
      <c r="BU4" s="40"/>
      <c r="BV4" s="39">
        <v>12</v>
      </c>
      <c r="BW4" s="39">
        <v>24</v>
      </c>
      <c r="BX4" s="39">
        <v>36</v>
      </c>
      <c r="BY4" s="39">
        <v>48</v>
      </c>
      <c r="BZ4" s="39">
        <v>60</v>
      </c>
    </row>
    <row r="5" spans="1:78" ht="15.6">
      <c r="A5" s="236" t="s">
        <v>191</v>
      </c>
      <c r="B5" s="237"/>
      <c r="C5" s="237"/>
      <c r="D5" s="237"/>
      <c r="E5" s="237"/>
      <c r="F5" s="238"/>
      <c r="G5" s="239"/>
      <c r="H5" s="239"/>
      <c r="I5" s="97"/>
      <c r="J5" s="97"/>
      <c r="K5" s="97"/>
      <c r="BU5" s="35"/>
      <c r="BV5" s="58"/>
      <c r="BW5" s="58"/>
      <c r="BX5" s="58"/>
      <c r="BY5" s="58"/>
      <c r="BZ5" s="58"/>
    </row>
    <row r="6" spans="1:78">
      <c r="A6" s="188"/>
      <c r="B6" s="188" t="s">
        <v>192</v>
      </c>
      <c r="C6" s="97"/>
      <c r="D6" s="195"/>
      <c r="E6" s="195"/>
      <c r="F6" s="240"/>
      <c r="G6" s="97"/>
      <c r="H6" s="97"/>
      <c r="I6" s="220"/>
      <c r="J6" s="220"/>
      <c r="K6" s="220"/>
      <c r="L6" s="28"/>
      <c r="M6" s="135">
        <f>IS!M35</f>
        <v>-26531.164142303656</v>
      </c>
      <c r="N6" s="135">
        <f>IS!N35</f>
        <v>-26573.365520226893</v>
      </c>
      <c r="O6" s="135">
        <f>IS!O35</f>
        <v>-22991.200924215649</v>
      </c>
      <c r="P6" s="135">
        <f>IS!P35</f>
        <v>-20784.683034791226</v>
      </c>
      <c r="Q6" s="135">
        <f>IS!Q35</f>
        <v>-20828.824786085366</v>
      </c>
      <c r="R6" s="135">
        <f>IS!R35</f>
        <v>-18215.458182870974</v>
      </c>
      <c r="S6" s="135">
        <f>IS!S35</f>
        <v>-16861.981031604966</v>
      </c>
      <c r="T6" s="135">
        <f>IS!T35</f>
        <v>-16909.797318742905</v>
      </c>
      <c r="U6" s="135">
        <f>IS!U35</f>
        <v>-13333.327622208668</v>
      </c>
      <c r="V6" s="135">
        <f>IS!V35</f>
        <v>-11132.586222328795</v>
      </c>
      <c r="W6" s="135">
        <f>IS!W35</f>
        <v>-11182.587685036389</v>
      </c>
      <c r="X6" s="135">
        <f>IS!X35</f>
        <v>-7608.3468675831937</v>
      </c>
      <c r="Y6" s="135">
        <f>IS!Y35</f>
        <v>-8165.2235225771001</v>
      </c>
      <c r="Z6" s="135">
        <f>IS!Z35</f>
        <v>-8219.1593071802199</v>
      </c>
      <c r="AA6" s="135">
        <f>IS!AA35</f>
        <v>-4648.8991901384652</v>
      </c>
      <c r="AB6" s="135">
        <f>IS!AB35</f>
        <v>-2454.4592534189505</v>
      </c>
      <c r="AC6" s="135">
        <f>IS!AC35</f>
        <v>-2510.8559006281066</v>
      </c>
      <c r="AD6" s="135">
        <f>IS!AD35</f>
        <v>1056.8941365554856</v>
      </c>
      <c r="AE6" s="135">
        <f>IS!AE35</f>
        <v>3248.7737918196799</v>
      </c>
      <c r="AF6" s="135">
        <f>IS!AF35</f>
        <v>3189.7656575260989</v>
      </c>
      <c r="AG6" s="135">
        <f>IS!AG35</f>
        <v>5734.8234131538047</v>
      </c>
      <c r="AH6" s="135">
        <f>IS!AH35</f>
        <v>7923.1783792055649</v>
      </c>
      <c r="AI6" s="135">
        <f>IS!AI35</f>
        <v>7860.5912158762803</v>
      </c>
      <c r="AJ6" s="135">
        <f>IS!AJ35</f>
        <v>11422.04308057834</v>
      </c>
      <c r="AK6" s="135">
        <f>IS!AK35</f>
        <v>11473.439844866851</v>
      </c>
      <c r="AL6" s="135">
        <f>IS!AL35</f>
        <v>11407.911722924691</v>
      </c>
      <c r="AM6" s="135">
        <f>IS!AM35</f>
        <v>11341.36380984162</v>
      </c>
      <c r="AN6" s="135">
        <f>IS!AN35</f>
        <v>11273.775709794812</v>
      </c>
      <c r="AO6" s="135">
        <f>IS!AO35</f>
        <v>11205.126619044997</v>
      </c>
      <c r="AP6" s="135">
        <f>IS!AP35</f>
        <v>14760.395317778122</v>
      </c>
      <c r="AQ6" s="135">
        <f>IS!AQ35</f>
        <v>16939.560161783833</v>
      </c>
      <c r="AR6" s="135">
        <f>IS!AR35</f>
        <v>16867.599073967591</v>
      </c>
      <c r="AS6" s="135">
        <f>IS!AS35</f>
        <v>16794.489535692948</v>
      </c>
      <c r="AT6" s="135">
        <f>IS!AT35</f>
        <v>16720.208577950747</v>
      </c>
      <c r="AU6" s="135">
        <f>IS!AU35</f>
        <v>16644.732772351621</v>
      </c>
      <c r="AV6" s="135">
        <f>IS!AV35</f>
        <v>17603.874108969569</v>
      </c>
      <c r="AW6" s="135">
        <f>IS!AW35</f>
        <v>17461.426140115269</v>
      </c>
      <c r="AX6" s="135">
        <f>IS!AX35</f>
        <v>17381.412789837421</v>
      </c>
      <c r="AY6" s="135">
        <f>IS!AY35</f>
        <v>17300.106097812939</v>
      </c>
      <c r="AZ6" s="135">
        <f>IS!AZ35</f>
        <v>20842.480197206882</v>
      </c>
      <c r="BA6" s="135">
        <f>IS!BA35</f>
        <v>23008.508703847634</v>
      </c>
      <c r="BB6" s="135">
        <f>IS!BB35</f>
        <v>22923.164705880132</v>
      </c>
      <c r="BC6" s="135">
        <f>IS!BC35</f>
        <v>22836.420753212209</v>
      </c>
      <c r="BD6" s="135">
        <f>IS!BD35</f>
        <v>25246.187784817565</v>
      </c>
      <c r="BE6" s="135">
        <f>IS!BE35</f>
        <v>27405.751667435077</v>
      </c>
      <c r="BF6" s="135">
        <f>IS!BF35</f>
        <v>27313.829906924853</v>
      </c>
      <c r="BG6" s="135">
        <f>IS!BG35</f>
        <v>27220.392790424361</v>
      </c>
      <c r="BH6" s="135">
        <f>IS!BH35</f>
        <v>30750.410010813765</v>
      </c>
      <c r="BI6" s="135">
        <f>IS!BI35</f>
        <v>30323.574815039872</v>
      </c>
      <c r="BJ6" s="135">
        <f>IS!BJ35</f>
        <v>33850.407351157257</v>
      </c>
      <c r="BK6" s="135">
        <f>IS!BK35</f>
        <v>36000.599617216911</v>
      </c>
      <c r="BL6" s="135">
        <f>IS!BL35</f>
        <v>39524.118807817678</v>
      </c>
      <c r="BM6" s="135">
        <f>IS!BM35</f>
        <v>41670.931461450382</v>
      </c>
      <c r="BN6" s="135">
        <f>IS!BN35</f>
        <v>45191.00344737566</v>
      </c>
      <c r="BO6" s="135">
        <f>IS!BO35</f>
        <v>47334.299952239366</v>
      </c>
      <c r="BP6" s="135">
        <f>IS!BP35</f>
        <v>49666.460259662097</v>
      </c>
      <c r="BQ6" s="135">
        <f>IS!BQ35</f>
        <v>51805.290865296738</v>
      </c>
      <c r="BR6" s="135">
        <f>IS!BR35</f>
        <v>34862.548540625867</v>
      </c>
      <c r="BS6" s="135">
        <f>IS!BS35</f>
        <v>36991.91926740497</v>
      </c>
      <c r="BT6" s="135">
        <f>IS!BT35</f>
        <v>40494.329719627567</v>
      </c>
      <c r="BU6" s="35"/>
      <c r="BV6" s="58">
        <f>SUMIF($M$3:$BT$3,BV$3,$M6:$BT6)</f>
        <v>-212953.32333799865</v>
      </c>
      <c r="BW6" s="58">
        <f>SUMIF($M$3:$BT$3,BW$3,$M6:$BT6)</f>
        <v>14437.472500772412</v>
      </c>
      <c r="BX6" s="58">
        <f>SUMIF($M$3:$BT$3,BX$3,$M6:$BT6)</f>
        <v>173032.47725496738</v>
      </c>
      <c r="BY6" s="58">
        <f>SUMIF($M$3:$BT$3,BY$3,$M6:$BT6)</f>
        <v>279690.09154832806</v>
      </c>
      <c r="BZ6" s="58">
        <f>SUMIF($M$3:$BT$3,BZ$3,$M6:$BT6)</f>
        <v>487715.4841049143</v>
      </c>
    </row>
    <row r="7" spans="1:78">
      <c r="A7" s="188"/>
      <c r="B7" s="188"/>
      <c r="C7" s="97"/>
      <c r="D7" s="97"/>
      <c r="E7" s="97"/>
      <c r="F7" s="240"/>
      <c r="G7" s="97"/>
      <c r="H7" s="97"/>
      <c r="I7" s="97"/>
      <c r="J7" s="97"/>
      <c r="K7" s="97"/>
      <c r="BU7" s="35"/>
      <c r="BV7" s="58"/>
      <c r="BW7" s="58"/>
      <c r="BX7" s="58"/>
      <c r="BY7" s="58"/>
      <c r="BZ7" s="58"/>
    </row>
    <row r="8" spans="1:78">
      <c r="A8" s="188" t="s">
        <v>137</v>
      </c>
      <c r="B8" s="188" t="s">
        <v>193</v>
      </c>
      <c r="C8" s="97"/>
      <c r="D8" s="97"/>
      <c r="E8" s="97"/>
      <c r="F8" s="240"/>
      <c r="G8" s="97"/>
      <c r="H8" s="97"/>
      <c r="I8" s="97"/>
      <c r="J8" s="97"/>
      <c r="K8" s="97"/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58">
        <v>0</v>
      </c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  <c r="AY8" s="58">
        <v>0</v>
      </c>
      <c r="AZ8" s="58">
        <v>0</v>
      </c>
      <c r="BA8" s="58">
        <v>0</v>
      </c>
      <c r="BB8" s="58">
        <v>0</v>
      </c>
      <c r="BC8" s="58">
        <v>0</v>
      </c>
      <c r="BD8" s="58">
        <v>0</v>
      </c>
      <c r="BE8" s="58">
        <v>0</v>
      </c>
      <c r="BF8" s="58">
        <v>0</v>
      </c>
      <c r="BG8" s="58">
        <v>0</v>
      </c>
      <c r="BH8" s="58">
        <v>0</v>
      </c>
      <c r="BI8" s="58">
        <v>0</v>
      </c>
      <c r="BJ8" s="58">
        <v>0</v>
      </c>
      <c r="BK8" s="58">
        <v>0</v>
      </c>
      <c r="BL8" s="58">
        <v>0</v>
      </c>
      <c r="BM8" s="58">
        <v>0</v>
      </c>
      <c r="BN8" s="58">
        <v>0</v>
      </c>
      <c r="BO8" s="58">
        <v>0</v>
      </c>
      <c r="BP8" s="58">
        <v>0</v>
      </c>
      <c r="BQ8" s="58">
        <v>0</v>
      </c>
      <c r="BR8" s="58">
        <v>0</v>
      </c>
      <c r="BS8" s="58">
        <v>0</v>
      </c>
      <c r="BT8" s="58">
        <v>0</v>
      </c>
      <c r="BU8" s="35"/>
      <c r="BV8" s="58">
        <f>SUMIF($M$3:$BT$3,BV$3,$M8:$BT8)</f>
        <v>0</v>
      </c>
      <c r="BW8" s="58">
        <f>SUMIF($M$3:$BT$3,BW$3,$M8:$BT8)</f>
        <v>0</v>
      </c>
      <c r="BX8" s="58">
        <f>SUMIF($M$3:$BT$3,BX$3,$M8:$BT8)</f>
        <v>0</v>
      </c>
      <c r="BY8" s="58">
        <f>SUMIF($M$3:$BT$3,BY$3,$M8:$BT8)</f>
        <v>0</v>
      </c>
      <c r="BZ8" s="58">
        <f>SUMIF($M$3:$BT$3,BZ$3,$M8:$BT8)</f>
        <v>0</v>
      </c>
    </row>
    <row r="9" spans="1:78">
      <c r="A9" s="188" t="s">
        <v>137</v>
      </c>
      <c r="B9" s="188" t="s">
        <v>194</v>
      </c>
      <c r="C9" s="97"/>
      <c r="D9" s="97"/>
      <c r="E9" s="97"/>
      <c r="F9" s="240"/>
      <c r="G9" s="97"/>
      <c r="H9" s="97"/>
      <c r="I9" s="97"/>
      <c r="J9" s="97"/>
      <c r="K9" s="97"/>
      <c r="BU9" s="35"/>
      <c r="BV9" s="58"/>
      <c r="BW9" s="58"/>
      <c r="BX9" s="58"/>
      <c r="BY9" s="58"/>
      <c r="BZ9" s="58"/>
    </row>
    <row r="10" spans="1:78">
      <c r="A10" s="188" t="s">
        <v>137</v>
      </c>
      <c r="B10" s="188" t="s">
        <v>195</v>
      </c>
      <c r="C10" s="188"/>
      <c r="D10" s="188"/>
      <c r="E10" s="188"/>
      <c r="F10" s="97"/>
      <c r="G10" s="97"/>
      <c r="H10" s="97"/>
      <c r="I10" s="97"/>
      <c r="J10" s="97"/>
      <c r="K10" s="97"/>
      <c r="BU10" s="35"/>
      <c r="BV10" s="58"/>
      <c r="BW10" s="58"/>
      <c r="BX10" s="58"/>
      <c r="BY10" s="58"/>
      <c r="BZ10" s="58"/>
    </row>
    <row r="11" spans="1:78" ht="15.6">
      <c r="A11" s="188" t="s">
        <v>137</v>
      </c>
      <c r="B11" s="188" t="s">
        <v>196</v>
      </c>
      <c r="C11" s="188"/>
      <c r="D11" s="188"/>
      <c r="E11" s="188"/>
      <c r="F11" s="241"/>
      <c r="G11" s="97"/>
      <c r="H11" s="97"/>
      <c r="I11" s="97"/>
      <c r="J11" s="97"/>
      <c r="K11" s="97"/>
      <c r="BU11" s="35"/>
      <c r="BV11" s="58"/>
      <c r="BW11" s="58"/>
      <c r="BX11" s="58"/>
      <c r="BY11" s="58"/>
      <c r="BZ11" s="58"/>
    </row>
    <row r="12" spans="1:78" ht="15.6">
      <c r="A12" s="188" t="s">
        <v>137</v>
      </c>
      <c r="B12" s="188" t="s">
        <v>197</v>
      </c>
      <c r="C12" s="188"/>
      <c r="D12" s="188"/>
      <c r="E12" s="188"/>
      <c r="F12" s="241"/>
      <c r="G12" s="97"/>
      <c r="H12" s="97"/>
      <c r="I12" s="97"/>
      <c r="J12" s="97"/>
      <c r="K12" s="97"/>
      <c r="BU12" s="35"/>
      <c r="BV12" s="58"/>
      <c r="BW12" s="58"/>
      <c r="BX12" s="58"/>
      <c r="BY12" s="58"/>
      <c r="BZ12" s="58"/>
    </row>
    <row r="13" spans="1:78" ht="15.6">
      <c r="A13" s="188" t="s">
        <v>137</v>
      </c>
      <c r="B13" s="188" t="s">
        <v>198</v>
      </c>
      <c r="C13" s="188"/>
      <c r="D13" s="188"/>
      <c r="E13" s="188"/>
      <c r="F13" s="241"/>
      <c r="G13" s="97"/>
      <c r="H13" s="97"/>
      <c r="I13" s="97"/>
      <c r="J13" s="97"/>
      <c r="K13" s="97"/>
      <c r="BU13" s="35"/>
      <c r="BV13" s="58"/>
      <c r="BW13" s="58"/>
      <c r="BX13" s="58"/>
      <c r="BY13" s="58"/>
      <c r="BZ13" s="58"/>
    </row>
    <row r="14" spans="1:78" ht="15.6">
      <c r="A14" s="187"/>
      <c r="B14" s="194" t="s">
        <v>199</v>
      </c>
      <c r="C14" s="194"/>
      <c r="D14" s="194"/>
      <c r="E14" s="194"/>
      <c r="F14" s="242"/>
      <c r="G14" s="220"/>
      <c r="H14" s="220"/>
      <c r="I14" s="220"/>
      <c r="J14" s="220"/>
      <c r="K14" s="220"/>
      <c r="L14" s="28"/>
      <c r="M14" s="137">
        <f t="shared" ref="M14:AR14" si="3">SUM(M6:M13)</f>
        <v>-26531.164142303656</v>
      </c>
      <c r="N14" s="137">
        <f t="shared" si="3"/>
        <v>-26573.365520226893</v>
      </c>
      <c r="O14" s="137">
        <f t="shared" si="3"/>
        <v>-22991.200924215649</v>
      </c>
      <c r="P14" s="137">
        <f t="shared" si="3"/>
        <v>-20784.683034791226</v>
      </c>
      <c r="Q14" s="137">
        <f t="shared" si="3"/>
        <v>-20828.824786085366</v>
      </c>
      <c r="R14" s="137">
        <f t="shared" si="3"/>
        <v>-18215.458182870974</v>
      </c>
      <c r="S14" s="137">
        <f t="shared" si="3"/>
        <v>-16861.981031604966</v>
      </c>
      <c r="T14" s="137">
        <f t="shared" si="3"/>
        <v>-16909.797318742905</v>
      </c>
      <c r="U14" s="137">
        <f t="shared" si="3"/>
        <v>-13333.327622208668</v>
      </c>
      <c r="V14" s="137">
        <f t="shared" si="3"/>
        <v>-11132.586222328795</v>
      </c>
      <c r="W14" s="137">
        <f t="shared" si="3"/>
        <v>-11182.587685036389</v>
      </c>
      <c r="X14" s="137">
        <f t="shared" si="3"/>
        <v>-7608.3468675831937</v>
      </c>
      <c r="Y14" s="137">
        <f t="shared" si="3"/>
        <v>-8165.2235225771001</v>
      </c>
      <c r="Z14" s="137">
        <f t="shared" si="3"/>
        <v>-8219.1593071802199</v>
      </c>
      <c r="AA14" s="137">
        <f t="shared" si="3"/>
        <v>-4648.8991901384652</v>
      </c>
      <c r="AB14" s="137">
        <f t="shared" si="3"/>
        <v>-2454.4592534189505</v>
      </c>
      <c r="AC14" s="137">
        <f t="shared" si="3"/>
        <v>-2510.8559006281066</v>
      </c>
      <c r="AD14" s="137">
        <f t="shared" si="3"/>
        <v>1056.8941365554856</v>
      </c>
      <c r="AE14" s="137">
        <f t="shared" si="3"/>
        <v>3248.7737918196799</v>
      </c>
      <c r="AF14" s="137">
        <f t="shared" si="3"/>
        <v>3189.7656575260989</v>
      </c>
      <c r="AG14" s="137">
        <f t="shared" si="3"/>
        <v>5734.8234131538047</v>
      </c>
      <c r="AH14" s="137">
        <f t="shared" si="3"/>
        <v>7923.1783792055649</v>
      </c>
      <c r="AI14" s="137">
        <f t="shared" si="3"/>
        <v>7860.5912158762803</v>
      </c>
      <c r="AJ14" s="137">
        <f t="shared" si="3"/>
        <v>11422.04308057834</v>
      </c>
      <c r="AK14" s="137">
        <f t="shared" si="3"/>
        <v>11473.439844866851</v>
      </c>
      <c r="AL14" s="137">
        <f t="shared" si="3"/>
        <v>11407.911722924691</v>
      </c>
      <c r="AM14" s="137">
        <f t="shared" si="3"/>
        <v>11341.36380984162</v>
      </c>
      <c r="AN14" s="137">
        <f t="shared" si="3"/>
        <v>11273.775709794812</v>
      </c>
      <c r="AO14" s="137">
        <f t="shared" si="3"/>
        <v>11205.126619044997</v>
      </c>
      <c r="AP14" s="137">
        <f t="shared" si="3"/>
        <v>14760.395317778122</v>
      </c>
      <c r="AQ14" s="137">
        <f t="shared" si="3"/>
        <v>16939.560161783833</v>
      </c>
      <c r="AR14" s="137">
        <f t="shared" si="3"/>
        <v>16867.599073967591</v>
      </c>
      <c r="AS14" s="137">
        <f t="shared" ref="AS14:BX14" si="4">SUM(AS6:AS13)</f>
        <v>16794.489535692948</v>
      </c>
      <c r="AT14" s="137">
        <f t="shared" si="4"/>
        <v>16720.208577950747</v>
      </c>
      <c r="AU14" s="137">
        <f t="shared" si="4"/>
        <v>16644.732772351621</v>
      </c>
      <c r="AV14" s="137">
        <f t="shared" si="4"/>
        <v>17603.874108969569</v>
      </c>
      <c r="AW14" s="137">
        <f t="shared" si="4"/>
        <v>17461.426140115269</v>
      </c>
      <c r="AX14" s="137">
        <f t="shared" si="4"/>
        <v>17381.412789837421</v>
      </c>
      <c r="AY14" s="137">
        <f t="shared" si="4"/>
        <v>17300.106097812939</v>
      </c>
      <c r="AZ14" s="137">
        <f t="shared" si="4"/>
        <v>20842.480197206882</v>
      </c>
      <c r="BA14" s="137">
        <f t="shared" si="4"/>
        <v>23008.508703847634</v>
      </c>
      <c r="BB14" s="137">
        <f t="shared" si="4"/>
        <v>22923.164705880132</v>
      </c>
      <c r="BC14" s="137">
        <f t="shared" si="4"/>
        <v>22836.420753212209</v>
      </c>
      <c r="BD14" s="137">
        <f t="shared" si="4"/>
        <v>25246.187784817565</v>
      </c>
      <c r="BE14" s="137">
        <f t="shared" si="4"/>
        <v>27405.751667435077</v>
      </c>
      <c r="BF14" s="137">
        <f t="shared" si="4"/>
        <v>27313.829906924853</v>
      </c>
      <c r="BG14" s="137">
        <f t="shared" si="4"/>
        <v>27220.392790424361</v>
      </c>
      <c r="BH14" s="137">
        <f t="shared" si="4"/>
        <v>30750.410010813765</v>
      </c>
      <c r="BI14" s="137">
        <f t="shared" si="4"/>
        <v>30323.574815039872</v>
      </c>
      <c r="BJ14" s="137">
        <f t="shared" si="4"/>
        <v>33850.407351157257</v>
      </c>
      <c r="BK14" s="137">
        <f t="shared" si="4"/>
        <v>36000.599617216911</v>
      </c>
      <c r="BL14" s="137">
        <f t="shared" si="4"/>
        <v>39524.118807817678</v>
      </c>
      <c r="BM14" s="137">
        <f t="shared" si="4"/>
        <v>41670.931461450382</v>
      </c>
      <c r="BN14" s="137">
        <f t="shared" si="4"/>
        <v>45191.00344737566</v>
      </c>
      <c r="BO14" s="137">
        <f t="shared" si="4"/>
        <v>47334.299952239366</v>
      </c>
      <c r="BP14" s="137">
        <f t="shared" si="4"/>
        <v>49666.460259662097</v>
      </c>
      <c r="BQ14" s="137">
        <f t="shared" si="4"/>
        <v>51805.290865296738</v>
      </c>
      <c r="BR14" s="137">
        <f t="shared" si="4"/>
        <v>34862.548540625867</v>
      </c>
      <c r="BS14" s="137">
        <f t="shared" si="4"/>
        <v>36991.91926740497</v>
      </c>
      <c r="BT14" s="137">
        <f t="shared" si="4"/>
        <v>40494.329719627567</v>
      </c>
      <c r="BU14" s="35"/>
      <c r="BV14" s="143">
        <f>SUM(BV6:BV13)</f>
        <v>-212953.32333799865</v>
      </c>
      <c r="BW14" s="143">
        <f>SUM(BW6:BW13)</f>
        <v>14437.472500772412</v>
      </c>
      <c r="BX14" s="143">
        <f>SUM(BX6:BX13)</f>
        <v>173032.47725496738</v>
      </c>
      <c r="BY14" s="143">
        <f>SUM(BY6:BY13)</f>
        <v>279690.09154832806</v>
      </c>
      <c r="BZ14" s="143">
        <f>SUM(BZ6:BZ13)</f>
        <v>487715.4841049143</v>
      </c>
    </row>
    <row r="15" spans="1:78" ht="15.6">
      <c r="A15" s="188" t="s">
        <v>200</v>
      </c>
      <c r="B15" s="97"/>
      <c r="C15" s="188"/>
      <c r="D15" s="188"/>
      <c r="E15" s="188"/>
      <c r="F15" s="243"/>
      <c r="G15" s="97"/>
      <c r="H15" s="97"/>
      <c r="I15" s="97"/>
      <c r="J15" s="97"/>
      <c r="K15" s="97"/>
      <c r="M15" s="235">
        <f t="shared" ref="M15:AR15" si="5">SUM(M16:M19,M21:M23)</f>
        <v>0</v>
      </c>
      <c r="N15" s="235">
        <f t="shared" si="5"/>
        <v>0</v>
      </c>
      <c r="O15" s="235">
        <f t="shared" si="5"/>
        <v>0</v>
      </c>
      <c r="P15" s="235">
        <f t="shared" si="5"/>
        <v>0</v>
      </c>
      <c r="Q15" s="235">
        <f t="shared" si="5"/>
        <v>0</v>
      </c>
      <c r="R15" s="235">
        <f t="shared" si="5"/>
        <v>0</v>
      </c>
      <c r="S15" s="235">
        <f t="shared" si="5"/>
        <v>0</v>
      </c>
      <c r="T15" s="235">
        <f t="shared" si="5"/>
        <v>0</v>
      </c>
      <c r="U15" s="235">
        <f t="shared" si="5"/>
        <v>0</v>
      </c>
      <c r="V15" s="235">
        <f t="shared" si="5"/>
        <v>0</v>
      </c>
      <c r="W15" s="235">
        <f t="shared" si="5"/>
        <v>0</v>
      </c>
      <c r="X15" s="235">
        <f t="shared" si="5"/>
        <v>0</v>
      </c>
      <c r="Y15" s="235">
        <f t="shared" si="5"/>
        <v>0</v>
      </c>
      <c r="Z15" s="235">
        <f t="shared" si="5"/>
        <v>0</v>
      </c>
      <c r="AA15" s="235">
        <f t="shared" si="5"/>
        <v>0</v>
      </c>
      <c r="AB15" s="235">
        <f t="shared" si="5"/>
        <v>0</v>
      </c>
      <c r="AC15" s="235">
        <f t="shared" si="5"/>
        <v>0</v>
      </c>
      <c r="AD15" s="235">
        <f t="shared" si="5"/>
        <v>0</v>
      </c>
      <c r="AE15" s="235">
        <f t="shared" si="5"/>
        <v>0</v>
      </c>
      <c r="AF15" s="235">
        <f t="shared" si="5"/>
        <v>0</v>
      </c>
      <c r="AG15" s="235">
        <f t="shared" si="5"/>
        <v>0</v>
      </c>
      <c r="AH15" s="235">
        <f t="shared" si="5"/>
        <v>0</v>
      </c>
      <c r="AI15" s="235">
        <f t="shared" si="5"/>
        <v>0</v>
      </c>
      <c r="AJ15" s="235">
        <f t="shared" si="5"/>
        <v>0</v>
      </c>
      <c r="AK15" s="235">
        <f t="shared" si="5"/>
        <v>0</v>
      </c>
      <c r="AL15" s="235">
        <f t="shared" si="5"/>
        <v>0</v>
      </c>
      <c r="AM15" s="235">
        <f t="shared" si="5"/>
        <v>0</v>
      </c>
      <c r="AN15" s="235">
        <f t="shared" si="5"/>
        <v>0</v>
      </c>
      <c r="AO15" s="235">
        <f t="shared" si="5"/>
        <v>0</v>
      </c>
      <c r="AP15" s="235">
        <f t="shared" si="5"/>
        <v>0</v>
      </c>
      <c r="AQ15" s="235">
        <f t="shared" si="5"/>
        <v>0</v>
      </c>
      <c r="AR15" s="235">
        <f t="shared" si="5"/>
        <v>0</v>
      </c>
      <c r="AS15" s="235">
        <f t="shared" ref="AS15:BX15" si="6">SUM(AS16:AS19,AS21:AS23)</f>
        <v>0</v>
      </c>
      <c r="AT15" s="235">
        <f t="shared" si="6"/>
        <v>0</v>
      </c>
      <c r="AU15" s="235">
        <f t="shared" si="6"/>
        <v>0</v>
      </c>
      <c r="AV15" s="235">
        <f t="shared" si="6"/>
        <v>0</v>
      </c>
      <c r="AW15" s="235">
        <f t="shared" si="6"/>
        <v>0</v>
      </c>
      <c r="AX15" s="235">
        <f t="shared" si="6"/>
        <v>0</v>
      </c>
      <c r="AY15" s="235">
        <f t="shared" si="6"/>
        <v>0</v>
      </c>
      <c r="AZ15" s="235">
        <f t="shared" si="6"/>
        <v>0</v>
      </c>
      <c r="BA15" s="235">
        <f t="shared" si="6"/>
        <v>0</v>
      </c>
      <c r="BB15" s="235">
        <f t="shared" si="6"/>
        <v>0</v>
      </c>
      <c r="BC15" s="235">
        <f t="shared" si="6"/>
        <v>0</v>
      </c>
      <c r="BD15" s="235">
        <f t="shared" si="6"/>
        <v>0</v>
      </c>
      <c r="BE15" s="235">
        <f t="shared" si="6"/>
        <v>0</v>
      </c>
      <c r="BF15" s="235">
        <f t="shared" si="6"/>
        <v>0</v>
      </c>
      <c r="BG15" s="235">
        <f t="shared" si="6"/>
        <v>0</v>
      </c>
      <c r="BH15" s="235">
        <f t="shared" si="6"/>
        <v>0</v>
      </c>
      <c r="BI15" s="235">
        <f t="shared" si="6"/>
        <v>0</v>
      </c>
      <c r="BJ15" s="235">
        <f t="shared" si="6"/>
        <v>0</v>
      </c>
      <c r="BK15" s="235">
        <f t="shared" si="6"/>
        <v>0</v>
      </c>
      <c r="BL15" s="235">
        <f t="shared" si="6"/>
        <v>0</v>
      </c>
      <c r="BM15" s="235">
        <f t="shared" si="6"/>
        <v>0</v>
      </c>
      <c r="BN15" s="235">
        <f t="shared" si="6"/>
        <v>0</v>
      </c>
      <c r="BO15" s="235">
        <f t="shared" si="6"/>
        <v>0</v>
      </c>
      <c r="BP15" s="235">
        <f t="shared" si="6"/>
        <v>0</v>
      </c>
      <c r="BQ15" s="235">
        <f t="shared" si="6"/>
        <v>0</v>
      </c>
      <c r="BR15" s="235">
        <f t="shared" si="6"/>
        <v>0</v>
      </c>
      <c r="BS15" s="235">
        <f t="shared" si="6"/>
        <v>0</v>
      </c>
      <c r="BT15" s="235">
        <f t="shared" si="6"/>
        <v>0</v>
      </c>
      <c r="BU15" s="35"/>
      <c r="BV15" s="58">
        <f t="shared" ref="BV15:BZ19" si="7">SUMIF($M$3:$BT$3,BV$3,$M15:$BT15)</f>
        <v>0</v>
      </c>
      <c r="BW15" s="58">
        <f t="shared" si="7"/>
        <v>0</v>
      </c>
      <c r="BX15" s="58">
        <f t="shared" si="7"/>
        <v>0</v>
      </c>
      <c r="BY15" s="58">
        <f t="shared" si="7"/>
        <v>0</v>
      </c>
      <c r="BZ15" s="58">
        <f t="shared" si="7"/>
        <v>0</v>
      </c>
    </row>
    <row r="16" spans="1:78" ht="15.6">
      <c r="A16" s="244" t="s">
        <v>139</v>
      </c>
      <c r="B16" s="244" t="s">
        <v>183</v>
      </c>
      <c r="C16" s="244"/>
      <c r="D16" s="188"/>
      <c r="E16" s="188"/>
      <c r="F16" s="245"/>
      <c r="G16" s="97"/>
      <c r="H16" s="97"/>
      <c r="I16" s="97"/>
      <c r="J16" s="97"/>
      <c r="K16" s="9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35"/>
      <c r="BV16" s="58">
        <f t="shared" si="7"/>
        <v>0</v>
      </c>
      <c r="BW16" s="58">
        <f t="shared" si="7"/>
        <v>0</v>
      </c>
      <c r="BX16" s="58">
        <f t="shared" si="7"/>
        <v>0</v>
      </c>
      <c r="BY16" s="58">
        <f t="shared" si="7"/>
        <v>0</v>
      </c>
      <c r="BZ16" s="58">
        <f t="shared" si="7"/>
        <v>0</v>
      </c>
    </row>
    <row r="17" spans="1:78">
      <c r="A17" s="244" t="s">
        <v>139</v>
      </c>
      <c r="B17" s="244" t="s">
        <v>201</v>
      </c>
      <c r="C17" s="244"/>
      <c r="D17" s="244"/>
      <c r="E17" s="244"/>
      <c r="F17" s="52"/>
      <c r="G17" s="97"/>
      <c r="H17" s="97"/>
      <c r="I17" s="97"/>
      <c r="J17" s="97"/>
      <c r="K17" s="9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35"/>
      <c r="BV17" s="58">
        <f t="shared" si="7"/>
        <v>0</v>
      </c>
      <c r="BW17" s="58">
        <f t="shared" si="7"/>
        <v>0</v>
      </c>
      <c r="BX17" s="58">
        <f t="shared" si="7"/>
        <v>0</v>
      </c>
      <c r="BY17" s="58">
        <f t="shared" si="7"/>
        <v>0</v>
      </c>
      <c r="BZ17" s="58">
        <f t="shared" si="7"/>
        <v>0</v>
      </c>
    </row>
    <row r="18" spans="1:78">
      <c r="A18" s="244" t="s">
        <v>139</v>
      </c>
      <c r="B18" s="244" t="s">
        <v>186</v>
      </c>
      <c r="C18" s="244"/>
      <c r="D18" s="244"/>
      <c r="E18" s="244"/>
      <c r="F18" s="51"/>
      <c r="G18" s="97"/>
      <c r="H18" s="97"/>
      <c r="I18" s="97"/>
      <c r="J18" s="97"/>
      <c r="K18" s="9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35"/>
      <c r="BV18" s="58">
        <f t="shared" si="7"/>
        <v>0</v>
      </c>
      <c r="BW18" s="58">
        <f t="shared" si="7"/>
        <v>0</v>
      </c>
      <c r="BX18" s="58">
        <f t="shared" si="7"/>
        <v>0</v>
      </c>
      <c r="BY18" s="58">
        <f t="shared" si="7"/>
        <v>0</v>
      </c>
      <c r="BZ18" s="58">
        <f t="shared" si="7"/>
        <v>0</v>
      </c>
    </row>
    <row r="19" spans="1:78">
      <c r="A19" s="244" t="s">
        <v>139</v>
      </c>
      <c r="B19" s="244" t="s">
        <v>202</v>
      </c>
      <c r="C19" s="244"/>
      <c r="D19" s="244"/>
      <c r="E19" s="244"/>
      <c r="F19" s="50"/>
      <c r="G19" s="97"/>
      <c r="H19" s="97"/>
      <c r="I19" s="97"/>
      <c r="J19" s="97"/>
      <c r="K19" s="9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35"/>
      <c r="BV19" s="58">
        <f t="shared" si="7"/>
        <v>0</v>
      </c>
      <c r="BW19" s="58">
        <f t="shared" si="7"/>
        <v>0</v>
      </c>
      <c r="BX19" s="58">
        <f t="shared" si="7"/>
        <v>0</v>
      </c>
      <c r="BY19" s="58">
        <f t="shared" si="7"/>
        <v>0</v>
      </c>
      <c r="BZ19" s="58">
        <f t="shared" si="7"/>
        <v>0</v>
      </c>
    </row>
    <row r="20" spans="1:78">
      <c r="A20" s="244"/>
      <c r="B20" s="244"/>
      <c r="C20" s="244"/>
      <c r="D20" s="244"/>
      <c r="E20" s="244"/>
      <c r="F20" s="51"/>
      <c r="G20" s="97"/>
      <c r="H20" s="97"/>
      <c r="I20" s="97"/>
      <c r="J20" s="97"/>
      <c r="K20" s="9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35"/>
      <c r="BV20" s="58"/>
      <c r="BW20" s="58"/>
      <c r="BX20" s="58"/>
      <c r="BY20" s="58"/>
      <c r="BZ20" s="58"/>
    </row>
    <row r="21" spans="1:78" ht="15.6">
      <c r="A21" s="188" t="s">
        <v>137</v>
      </c>
      <c r="B21" s="244" t="s">
        <v>170</v>
      </c>
      <c r="C21" s="244"/>
      <c r="D21" s="244"/>
      <c r="E21" s="244"/>
      <c r="F21" s="245"/>
      <c r="G21" s="97"/>
      <c r="H21" s="97"/>
      <c r="I21" s="97"/>
      <c r="J21" s="97"/>
      <c r="K21" s="97"/>
      <c r="M21" s="135">
        <f>BS!M15-BS!L15</f>
        <v>0</v>
      </c>
      <c r="N21" s="135">
        <f>BS!N15-BS!M15</f>
        <v>0</v>
      </c>
      <c r="O21" s="135">
        <f>BS!O15-BS!N15</f>
        <v>0</v>
      </c>
      <c r="P21" s="135">
        <f>BS!P15-BS!O15</f>
        <v>0</v>
      </c>
      <c r="Q21" s="135">
        <f>BS!Q15-BS!P15</f>
        <v>0</v>
      </c>
      <c r="R21" s="135">
        <f>BS!R15-BS!Q15</f>
        <v>0</v>
      </c>
      <c r="S21" s="135">
        <f>BS!S15-BS!R15</f>
        <v>0</v>
      </c>
      <c r="T21" s="135">
        <f>BS!T15-BS!S15</f>
        <v>0</v>
      </c>
      <c r="U21" s="135">
        <f>BS!U15-BS!T15</f>
        <v>0</v>
      </c>
      <c r="V21" s="135">
        <f>BS!V15-BS!U15</f>
        <v>0</v>
      </c>
      <c r="W21" s="135">
        <f>BS!W15-BS!V15</f>
        <v>0</v>
      </c>
      <c r="X21" s="135">
        <f>BS!X15-BS!W15</f>
        <v>0</v>
      </c>
      <c r="Y21" s="135">
        <f>BS!Y15-BS!X15</f>
        <v>0</v>
      </c>
      <c r="Z21" s="135">
        <f>BS!Z15-BS!Y15</f>
        <v>0</v>
      </c>
      <c r="AA21" s="135">
        <f>BS!AA15-BS!Z15</f>
        <v>0</v>
      </c>
      <c r="AB21" s="135">
        <f>BS!AB15-BS!AA15</f>
        <v>0</v>
      </c>
      <c r="AC21" s="135">
        <f>BS!AC15-BS!AB15</f>
        <v>0</v>
      </c>
      <c r="AD21" s="135">
        <f>BS!AD15-BS!AC15</f>
        <v>0</v>
      </c>
      <c r="AE21" s="135">
        <f>BS!AE15-BS!AD15</f>
        <v>0</v>
      </c>
      <c r="AF21" s="135">
        <f>BS!AF15-BS!AE15</f>
        <v>0</v>
      </c>
      <c r="AG21" s="135">
        <f>BS!AG15-BS!AF15</f>
        <v>0</v>
      </c>
      <c r="AH21" s="135">
        <f>BS!AH15-BS!AG15</f>
        <v>0</v>
      </c>
      <c r="AI21" s="135">
        <f>BS!AI15-BS!AH15</f>
        <v>0</v>
      </c>
      <c r="AJ21" s="135">
        <f>BS!AJ15-BS!AI15</f>
        <v>0</v>
      </c>
      <c r="AK21" s="135">
        <f>BS!AK15-BS!AJ15</f>
        <v>0</v>
      </c>
      <c r="AL21" s="135">
        <f>BS!AL15-BS!AK15</f>
        <v>0</v>
      </c>
      <c r="AM21" s="135">
        <f>BS!AM15-BS!AL15</f>
        <v>0</v>
      </c>
      <c r="AN21" s="135">
        <f>BS!AN15-BS!AM15</f>
        <v>0</v>
      </c>
      <c r="AO21" s="135">
        <f>BS!AO15-BS!AN15</f>
        <v>0</v>
      </c>
      <c r="AP21" s="135">
        <f>BS!AP15-BS!AO15</f>
        <v>0</v>
      </c>
      <c r="AQ21" s="135">
        <f>BS!AQ15-BS!AP15</f>
        <v>0</v>
      </c>
      <c r="AR21" s="135">
        <f>BS!AR15-BS!AQ15</f>
        <v>0</v>
      </c>
      <c r="AS21" s="135">
        <f>BS!AS15-BS!AR15</f>
        <v>0</v>
      </c>
      <c r="AT21" s="135">
        <f>BS!AT15-BS!AS15</f>
        <v>0</v>
      </c>
      <c r="AU21" s="135">
        <f>BS!AU15-BS!AT15</f>
        <v>0</v>
      </c>
      <c r="AV21" s="135">
        <f>BS!AV15-BS!AU15</f>
        <v>0</v>
      </c>
      <c r="AW21" s="135">
        <f>BS!AW15-BS!AV15</f>
        <v>0</v>
      </c>
      <c r="AX21" s="135">
        <f>BS!AX15-BS!AW15</f>
        <v>0</v>
      </c>
      <c r="AY21" s="135">
        <f>BS!AY15-BS!AX15</f>
        <v>0</v>
      </c>
      <c r="AZ21" s="135">
        <f>BS!AZ15-BS!AY15</f>
        <v>0</v>
      </c>
      <c r="BA21" s="135">
        <f>BS!BA15-BS!AZ15</f>
        <v>0</v>
      </c>
      <c r="BB21" s="135">
        <f>BS!BB15-BS!BA15</f>
        <v>0</v>
      </c>
      <c r="BC21" s="135">
        <f>BS!BC15-BS!BB15</f>
        <v>0</v>
      </c>
      <c r="BD21" s="135">
        <f>BS!BD15-BS!BC15</f>
        <v>0</v>
      </c>
      <c r="BE21" s="135">
        <f>BS!BE15-BS!BD15</f>
        <v>0</v>
      </c>
      <c r="BF21" s="135">
        <f>BS!BF15-BS!BE15</f>
        <v>0</v>
      </c>
      <c r="BG21" s="135">
        <f>BS!BG15-BS!BF15</f>
        <v>0</v>
      </c>
      <c r="BH21" s="135">
        <f>BS!BH15-BS!BG15</f>
        <v>0</v>
      </c>
      <c r="BI21" s="135">
        <f>BS!BI15-BS!BH15</f>
        <v>0</v>
      </c>
      <c r="BJ21" s="135">
        <f>BS!BJ15-BS!BI15</f>
        <v>0</v>
      </c>
      <c r="BK21" s="135">
        <f>BS!BK15-BS!BJ15</f>
        <v>0</v>
      </c>
      <c r="BL21" s="135">
        <f>BS!BL15-BS!BK15</f>
        <v>0</v>
      </c>
      <c r="BM21" s="135">
        <f>BS!BM15-BS!BL15</f>
        <v>0</v>
      </c>
      <c r="BN21" s="135">
        <f>BS!BN15-BS!BM15</f>
        <v>0</v>
      </c>
      <c r="BO21" s="135">
        <f>BS!BO15-BS!BN15</f>
        <v>0</v>
      </c>
      <c r="BP21" s="135">
        <f>BS!BP15-BS!BO15</f>
        <v>0</v>
      </c>
      <c r="BQ21" s="135">
        <f>BS!BQ15-BS!BP15</f>
        <v>0</v>
      </c>
      <c r="BR21" s="135">
        <f>BS!BR15-BS!BQ15</f>
        <v>0</v>
      </c>
      <c r="BS21" s="135">
        <f>BS!BS15-BS!BR15</f>
        <v>0</v>
      </c>
      <c r="BT21" s="135">
        <f>BS!BT15-BS!BS15</f>
        <v>0</v>
      </c>
      <c r="BU21" s="35"/>
      <c r="BV21" s="58">
        <f t="shared" ref="BV21:BZ23" si="8">SUMIF($M$3:$BT$3,BV$3,$M21:$BT21)</f>
        <v>0</v>
      </c>
      <c r="BW21" s="58">
        <f t="shared" si="8"/>
        <v>0</v>
      </c>
      <c r="BX21" s="58">
        <f t="shared" si="8"/>
        <v>0</v>
      </c>
      <c r="BY21" s="58">
        <f t="shared" si="8"/>
        <v>0</v>
      </c>
      <c r="BZ21" s="58">
        <f t="shared" si="8"/>
        <v>0</v>
      </c>
    </row>
    <row r="22" spans="1:78">
      <c r="A22" s="188" t="s">
        <v>137</v>
      </c>
      <c r="B22" s="244" t="s">
        <v>171</v>
      </c>
      <c r="C22" s="244"/>
      <c r="D22" s="244"/>
      <c r="E22" s="244"/>
      <c r="F22" s="52"/>
      <c r="G22" s="97"/>
      <c r="H22" s="97"/>
      <c r="I22" s="97"/>
      <c r="J22" s="97"/>
      <c r="K22" s="97"/>
      <c r="BU22" s="35"/>
      <c r="BV22" s="58">
        <f t="shared" si="8"/>
        <v>0</v>
      </c>
      <c r="BW22" s="58">
        <f t="shared" si="8"/>
        <v>0</v>
      </c>
      <c r="BX22" s="58">
        <f t="shared" si="8"/>
        <v>0</v>
      </c>
      <c r="BY22" s="58">
        <f t="shared" si="8"/>
        <v>0</v>
      </c>
      <c r="BZ22" s="58">
        <f t="shared" si="8"/>
        <v>0</v>
      </c>
    </row>
    <row r="23" spans="1:78">
      <c r="A23" s="188" t="s">
        <v>137</v>
      </c>
      <c r="B23" s="244" t="s">
        <v>203</v>
      </c>
      <c r="C23" s="244"/>
      <c r="D23" s="244"/>
      <c r="E23" s="244"/>
      <c r="F23" s="51"/>
      <c r="G23" s="97"/>
      <c r="H23" s="97"/>
      <c r="I23" s="97"/>
      <c r="J23" s="97"/>
      <c r="K23" s="97"/>
      <c r="BU23" s="35"/>
      <c r="BV23" s="58">
        <f t="shared" si="8"/>
        <v>0</v>
      </c>
      <c r="BW23" s="58">
        <f t="shared" si="8"/>
        <v>0</v>
      </c>
      <c r="BX23" s="58">
        <f t="shared" si="8"/>
        <v>0</v>
      </c>
      <c r="BY23" s="58">
        <f t="shared" si="8"/>
        <v>0</v>
      </c>
      <c r="BZ23" s="58">
        <f t="shared" si="8"/>
        <v>0</v>
      </c>
    </row>
    <row r="24" spans="1:78">
      <c r="A24" s="244"/>
      <c r="B24" s="244"/>
      <c r="C24" s="244"/>
      <c r="D24" s="244"/>
      <c r="E24" s="244"/>
      <c r="F24" s="50"/>
      <c r="G24" s="97"/>
      <c r="H24" s="97"/>
      <c r="I24" s="97"/>
      <c r="J24" s="97"/>
      <c r="K24" s="97"/>
      <c r="BU24" s="35"/>
      <c r="BV24" s="58"/>
      <c r="BW24" s="58"/>
      <c r="BX24" s="58"/>
      <c r="BY24" s="58"/>
      <c r="BZ24" s="58"/>
    </row>
    <row r="25" spans="1:78" ht="15.6">
      <c r="A25" s="246"/>
      <c r="B25" s="246" t="s">
        <v>204</v>
      </c>
      <c r="C25" s="247"/>
      <c r="D25" s="248"/>
      <c r="E25" s="248"/>
      <c r="F25" s="248"/>
      <c r="G25" s="248"/>
      <c r="H25" s="248"/>
      <c r="I25" s="248"/>
      <c r="J25" s="248"/>
      <c r="K25" s="248"/>
      <c r="L25" s="246"/>
      <c r="M25" s="249">
        <f t="shared" ref="M25:AR25" si="9">SUM(M14:M15)</f>
        <v>-26531.164142303656</v>
      </c>
      <c r="N25" s="249">
        <f t="shared" si="9"/>
        <v>-26573.365520226893</v>
      </c>
      <c r="O25" s="249">
        <f t="shared" si="9"/>
        <v>-22991.200924215649</v>
      </c>
      <c r="P25" s="249">
        <f t="shared" si="9"/>
        <v>-20784.683034791226</v>
      </c>
      <c r="Q25" s="249">
        <f t="shared" si="9"/>
        <v>-20828.824786085366</v>
      </c>
      <c r="R25" s="249">
        <f t="shared" si="9"/>
        <v>-18215.458182870974</v>
      </c>
      <c r="S25" s="249">
        <f t="shared" si="9"/>
        <v>-16861.981031604966</v>
      </c>
      <c r="T25" s="249">
        <f t="shared" si="9"/>
        <v>-16909.797318742905</v>
      </c>
      <c r="U25" s="249">
        <f t="shared" si="9"/>
        <v>-13333.327622208668</v>
      </c>
      <c r="V25" s="249">
        <f t="shared" si="9"/>
        <v>-11132.586222328795</v>
      </c>
      <c r="W25" s="249">
        <f t="shared" si="9"/>
        <v>-11182.587685036389</v>
      </c>
      <c r="X25" s="249">
        <f t="shared" si="9"/>
        <v>-7608.3468675831937</v>
      </c>
      <c r="Y25" s="249">
        <f t="shared" si="9"/>
        <v>-8165.2235225771001</v>
      </c>
      <c r="Z25" s="249">
        <f t="shared" si="9"/>
        <v>-8219.1593071802199</v>
      </c>
      <c r="AA25" s="249">
        <f t="shared" si="9"/>
        <v>-4648.8991901384652</v>
      </c>
      <c r="AB25" s="249">
        <f t="shared" si="9"/>
        <v>-2454.4592534189505</v>
      </c>
      <c r="AC25" s="249">
        <f t="shared" si="9"/>
        <v>-2510.8559006281066</v>
      </c>
      <c r="AD25" s="249">
        <f t="shared" si="9"/>
        <v>1056.8941365554856</v>
      </c>
      <c r="AE25" s="249">
        <f t="shared" si="9"/>
        <v>3248.7737918196799</v>
      </c>
      <c r="AF25" s="249">
        <f t="shared" si="9"/>
        <v>3189.7656575260989</v>
      </c>
      <c r="AG25" s="249">
        <f t="shared" si="9"/>
        <v>5734.8234131538047</v>
      </c>
      <c r="AH25" s="249">
        <f t="shared" si="9"/>
        <v>7923.1783792055649</v>
      </c>
      <c r="AI25" s="249">
        <f t="shared" si="9"/>
        <v>7860.5912158762803</v>
      </c>
      <c r="AJ25" s="249">
        <f t="shared" si="9"/>
        <v>11422.04308057834</v>
      </c>
      <c r="AK25" s="249">
        <f t="shared" si="9"/>
        <v>11473.439844866851</v>
      </c>
      <c r="AL25" s="249">
        <f t="shared" si="9"/>
        <v>11407.911722924691</v>
      </c>
      <c r="AM25" s="249">
        <f t="shared" si="9"/>
        <v>11341.36380984162</v>
      </c>
      <c r="AN25" s="249">
        <f t="shared" si="9"/>
        <v>11273.775709794812</v>
      </c>
      <c r="AO25" s="249">
        <f t="shared" si="9"/>
        <v>11205.126619044997</v>
      </c>
      <c r="AP25" s="249">
        <f t="shared" si="9"/>
        <v>14760.395317778122</v>
      </c>
      <c r="AQ25" s="249">
        <f t="shared" si="9"/>
        <v>16939.560161783833</v>
      </c>
      <c r="AR25" s="249">
        <f t="shared" si="9"/>
        <v>16867.599073967591</v>
      </c>
      <c r="AS25" s="249">
        <f t="shared" ref="AS25:BT25" si="10">SUM(AS14:AS15)</f>
        <v>16794.489535692948</v>
      </c>
      <c r="AT25" s="249">
        <f t="shared" si="10"/>
        <v>16720.208577950747</v>
      </c>
      <c r="AU25" s="249">
        <f t="shared" si="10"/>
        <v>16644.732772351621</v>
      </c>
      <c r="AV25" s="249">
        <f t="shared" si="10"/>
        <v>17603.874108969569</v>
      </c>
      <c r="AW25" s="249">
        <f t="shared" si="10"/>
        <v>17461.426140115269</v>
      </c>
      <c r="AX25" s="249">
        <f t="shared" si="10"/>
        <v>17381.412789837421</v>
      </c>
      <c r="AY25" s="249">
        <f t="shared" si="10"/>
        <v>17300.106097812939</v>
      </c>
      <c r="AZ25" s="249">
        <f t="shared" si="10"/>
        <v>20842.480197206882</v>
      </c>
      <c r="BA25" s="249">
        <f t="shared" si="10"/>
        <v>23008.508703847634</v>
      </c>
      <c r="BB25" s="249">
        <f t="shared" si="10"/>
        <v>22923.164705880132</v>
      </c>
      <c r="BC25" s="249">
        <f t="shared" si="10"/>
        <v>22836.420753212209</v>
      </c>
      <c r="BD25" s="249">
        <f t="shared" si="10"/>
        <v>25246.187784817565</v>
      </c>
      <c r="BE25" s="249">
        <f t="shared" si="10"/>
        <v>27405.751667435077</v>
      </c>
      <c r="BF25" s="249">
        <f t="shared" si="10"/>
        <v>27313.829906924853</v>
      </c>
      <c r="BG25" s="249">
        <f t="shared" si="10"/>
        <v>27220.392790424361</v>
      </c>
      <c r="BH25" s="249">
        <f t="shared" si="10"/>
        <v>30750.410010813765</v>
      </c>
      <c r="BI25" s="249">
        <f t="shared" si="10"/>
        <v>30323.574815039872</v>
      </c>
      <c r="BJ25" s="249">
        <f t="shared" si="10"/>
        <v>33850.407351157257</v>
      </c>
      <c r="BK25" s="249">
        <f t="shared" si="10"/>
        <v>36000.599617216911</v>
      </c>
      <c r="BL25" s="249">
        <f t="shared" si="10"/>
        <v>39524.118807817678</v>
      </c>
      <c r="BM25" s="249">
        <f t="shared" si="10"/>
        <v>41670.931461450382</v>
      </c>
      <c r="BN25" s="249">
        <f t="shared" si="10"/>
        <v>45191.00344737566</v>
      </c>
      <c r="BO25" s="249">
        <f t="shared" si="10"/>
        <v>47334.299952239366</v>
      </c>
      <c r="BP25" s="249">
        <f t="shared" si="10"/>
        <v>49666.460259662097</v>
      </c>
      <c r="BQ25" s="249">
        <f t="shared" si="10"/>
        <v>51805.290865296738</v>
      </c>
      <c r="BR25" s="249">
        <f t="shared" si="10"/>
        <v>34862.548540625867</v>
      </c>
      <c r="BS25" s="249">
        <f t="shared" si="10"/>
        <v>36991.91926740497</v>
      </c>
      <c r="BT25" s="249">
        <f t="shared" si="10"/>
        <v>40494.329719627567</v>
      </c>
      <c r="BU25" s="35"/>
      <c r="BV25" s="250">
        <f>SUM(BV14,BV16:BV23)</f>
        <v>-212953.32333799865</v>
      </c>
      <c r="BW25" s="250">
        <f>SUM(BW14,BW16:BW23)</f>
        <v>14437.472500772412</v>
      </c>
      <c r="BX25" s="250">
        <f>SUM(BX14,BX16:BX23)</f>
        <v>173032.47725496738</v>
      </c>
      <c r="BY25" s="250">
        <f>SUM(BY14,BY16:BY23)</f>
        <v>279690.09154832806</v>
      </c>
      <c r="BZ25" s="250">
        <f>SUM(BZ14,BZ16:BZ23)</f>
        <v>487715.4841049143</v>
      </c>
    </row>
    <row r="26" spans="1:78">
      <c r="A26" s="97"/>
      <c r="B26" s="97"/>
      <c r="C26" s="97"/>
      <c r="D26" s="97"/>
      <c r="E26" s="97"/>
      <c r="F26" s="50"/>
      <c r="G26" s="97"/>
      <c r="H26" s="97"/>
      <c r="I26" s="97"/>
      <c r="J26" s="97"/>
      <c r="K26" s="97"/>
      <c r="BU26" s="35"/>
      <c r="BV26" s="58"/>
      <c r="BW26" s="58"/>
      <c r="BX26" s="58"/>
      <c r="BY26" s="58"/>
      <c r="BZ26" s="58"/>
    </row>
    <row r="27" spans="1:78" ht="15.6">
      <c r="A27" s="251" t="s">
        <v>205</v>
      </c>
      <c r="B27" s="252"/>
      <c r="C27" s="239"/>
      <c r="D27" s="239"/>
      <c r="E27" s="252"/>
      <c r="F27" s="245"/>
      <c r="G27" s="97"/>
      <c r="H27" s="97"/>
      <c r="I27" s="97"/>
      <c r="J27" s="97"/>
      <c r="K27" s="97"/>
      <c r="BU27" s="35"/>
      <c r="BV27" s="58"/>
      <c r="BW27" s="58"/>
      <c r="BX27" s="58"/>
      <c r="BY27" s="58"/>
      <c r="BZ27" s="58"/>
    </row>
    <row r="28" spans="1:78">
      <c r="A28" s="195"/>
      <c r="B28" s="195" t="s">
        <v>206</v>
      </c>
      <c r="C28" s="195"/>
      <c r="D28" s="195"/>
      <c r="E28" s="195"/>
      <c r="F28" s="253"/>
      <c r="G28" s="220"/>
      <c r="H28" s="220"/>
      <c r="I28" s="220"/>
      <c r="J28" s="220"/>
      <c r="K28" s="220"/>
      <c r="L28" s="28"/>
      <c r="BU28" s="35"/>
      <c r="BV28" s="58">
        <f t="shared" ref="BV28:BZ29" si="11">SUMIF($M$3:$BT$3,BV$3,$M28:$BT28)</f>
        <v>0</v>
      </c>
      <c r="BW28" s="58">
        <f t="shared" si="11"/>
        <v>0</v>
      </c>
      <c r="BX28" s="58">
        <f t="shared" si="11"/>
        <v>0</v>
      </c>
      <c r="BY28" s="58">
        <f t="shared" si="11"/>
        <v>0</v>
      </c>
      <c r="BZ28" s="58">
        <f t="shared" si="11"/>
        <v>0</v>
      </c>
    </row>
    <row r="29" spans="1:78" ht="15.6">
      <c r="A29" s="188" t="s">
        <v>137</v>
      </c>
      <c r="B29" s="188" t="s">
        <v>207</v>
      </c>
      <c r="C29" s="254"/>
      <c r="D29" s="255"/>
      <c r="E29" s="255"/>
      <c r="F29" s="245"/>
      <c r="G29" s="97"/>
      <c r="H29" s="97"/>
      <c r="I29" s="97"/>
      <c r="J29" s="97"/>
      <c r="K29" s="97"/>
      <c r="BU29" s="35"/>
      <c r="BV29" s="58">
        <f t="shared" si="11"/>
        <v>0</v>
      </c>
      <c r="BW29" s="58">
        <f t="shared" si="11"/>
        <v>0</v>
      </c>
      <c r="BX29" s="58">
        <f t="shared" si="11"/>
        <v>0</v>
      </c>
      <c r="BY29" s="58">
        <f t="shared" si="11"/>
        <v>0</v>
      </c>
      <c r="BZ29" s="58">
        <f t="shared" si="11"/>
        <v>0</v>
      </c>
    </row>
    <row r="30" spans="1:78" ht="15.6">
      <c r="A30" s="188"/>
      <c r="B30" s="188"/>
      <c r="C30" s="254"/>
      <c r="D30" s="255"/>
      <c r="E30" s="255"/>
      <c r="F30" s="50"/>
      <c r="G30" s="97"/>
      <c r="H30" s="97"/>
      <c r="I30" s="97"/>
      <c r="J30" s="97"/>
      <c r="K30" s="97"/>
      <c r="BU30" s="35"/>
      <c r="BV30" s="58"/>
      <c r="BW30" s="58"/>
      <c r="BX30" s="58"/>
      <c r="BY30" s="58"/>
      <c r="BZ30" s="58"/>
    </row>
    <row r="31" spans="1:78" ht="15.6">
      <c r="A31" s="246"/>
      <c r="B31" s="246" t="s">
        <v>208</v>
      </c>
      <c r="C31" s="247"/>
      <c r="D31" s="246"/>
      <c r="E31" s="246"/>
      <c r="F31" s="248"/>
      <c r="G31" s="248"/>
      <c r="H31" s="248"/>
      <c r="I31" s="248"/>
      <c r="J31" s="248"/>
      <c r="K31" s="248"/>
      <c r="L31" s="246"/>
      <c r="M31" s="250">
        <f t="shared" ref="M31:AR31" si="12">SUM(M28:M29)</f>
        <v>0</v>
      </c>
      <c r="N31" s="250">
        <f t="shared" si="12"/>
        <v>0</v>
      </c>
      <c r="O31" s="250">
        <f t="shared" si="12"/>
        <v>0</v>
      </c>
      <c r="P31" s="250">
        <f t="shared" si="12"/>
        <v>0</v>
      </c>
      <c r="Q31" s="250">
        <f t="shared" si="12"/>
        <v>0</v>
      </c>
      <c r="R31" s="250">
        <f t="shared" si="12"/>
        <v>0</v>
      </c>
      <c r="S31" s="250">
        <f t="shared" si="12"/>
        <v>0</v>
      </c>
      <c r="T31" s="250">
        <f t="shared" si="12"/>
        <v>0</v>
      </c>
      <c r="U31" s="250">
        <f t="shared" si="12"/>
        <v>0</v>
      </c>
      <c r="V31" s="250">
        <f t="shared" si="12"/>
        <v>0</v>
      </c>
      <c r="W31" s="250">
        <f t="shared" si="12"/>
        <v>0</v>
      </c>
      <c r="X31" s="250">
        <f t="shared" si="12"/>
        <v>0</v>
      </c>
      <c r="Y31" s="250">
        <f t="shared" si="12"/>
        <v>0</v>
      </c>
      <c r="Z31" s="250">
        <f t="shared" si="12"/>
        <v>0</v>
      </c>
      <c r="AA31" s="250">
        <f t="shared" si="12"/>
        <v>0</v>
      </c>
      <c r="AB31" s="250">
        <f t="shared" si="12"/>
        <v>0</v>
      </c>
      <c r="AC31" s="250">
        <f t="shared" si="12"/>
        <v>0</v>
      </c>
      <c r="AD31" s="250">
        <f t="shared" si="12"/>
        <v>0</v>
      </c>
      <c r="AE31" s="250">
        <f t="shared" si="12"/>
        <v>0</v>
      </c>
      <c r="AF31" s="250">
        <f t="shared" si="12"/>
        <v>0</v>
      </c>
      <c r="AG31" s="250">
        <f t="shared" si="12"/>
        <v>0</v>
      </c>
      <c r="AH31" s="250">
        <f t="shared" si="12"/>
        <v>0</v>
      </c>
      <c r="AI31" s="250">
        <f t="shared" si="12"/>
        <v>0</v>
      </c>
      <c r="AJ31" s="250">
        <f t="shared" si="12"/>
        <v>0</v>
      </c>
      <c r="AK31" s="250">
        <f t="shared" si="12"/>
        <v>0</v>
      </c>
      <c r="AL31" s="250">
        <f t="shared" si="12"/>
        <v>0</v>
      </c>
      <c r="AM31" s="250">
        <f t="shared" si="12"/>
        <v>0</v>
      </c>
      <c r="AN31" s="250">
        <f t="shared" si="12"/>
        <v>0</v>
      </c>
      <c r="AO31" s="250">
        <f t="shared" si="12"/>
        <v>0</v>
      </c>
      <c r="AP31" s="250">
        <f t="shared" si="12"/>
        <v>0</v>
      </c>
      <c r="AQ31" s="250">
        <f t="shared" si="12"/>
        <v>0</v>
      </c>
      <c r="AR31" s="250">
        <f t="shared" si="12"/>
        <v>0</v>
      </c>
      <c r="AS31" s="250">
        <f t="shared" ref="AS31:BT31" si="13">SUM(AS28:AS29)</f>
        <v>0</v>
      </c>
      <c r="AT31" s="250">
        <f t="shared" si="13"/>
        <v>0</v>
      </c>
      <c r="AU31" s="250">
        <f t="shared" si="13"/>
        <v>0</v>
      </c>
      <c r="AV31" s="250">
        <f t="shared" si="13"/>
        <v>0</v>
      </c>
      <c r="AW31" s="250">
        <f t="shared" si="13"/>
        <v>0</v>
      </c>
      <c r="AX31" s="250">
        <f t="shared" si="13"/>
        <v>0</v>
      </c>
      <c r="AY31" s="250">
        <f t="shared" si="13"/>
        <v>0</v>
      </c>
      <c r="AZ31" s="250">
        <f t="shared" si="13"/>
        <v>0</v>
      </c>
      <c r="BA31" s="250">
        <f t="shared" si="13"/>
        <v>0</v>
      </c>
      <c r="BB31" s="250">
        <f t="shared" si="13"/>
        <v>0</v>
      </c>
      <c r="BC31" s="250">
        <f t="shared" si="13"/>
        <v>0</v>
      </c>
      <c r="BD31" s="250">
        <f t="shared" si="13"/>
        <v>0</v>
      </c>
      <c r="BE31" s="250">
        <f t="shared" si="13"/>
        <v>0</v>
      </c>
      <c r="BF31" s="250">
        <f t="shared" si="13"/>
        <v>0</v>
      </c>
      <c r="BG31" s="250">
        <f t="shared" si="13"/>
        <v>0</v>
      </c>
      <c r="BH31" s="250">
        <f t="shared" si="13"/>
        <v>0</v>
      </c>
      <c r="BI31" s="250">
        <f t="shared" si="13"/>
        <v>0</v>
      </c>
      <c r="BJ31" s="250">
        <f t="shared" si="13"/>
        <v>0</v>
      </c>
      <c r="BK31" s="250">
        <f t="shared" si="13"/>
        <v>0</v>
      </c>
      <c r="BL31" s="250">
        <f t="shared" si="13"/>
        <v>0</v>
      </c>
      <c r="BM31" s="250">
        <f t="shared" si="13"/>
        <v>0</v>
      </c>
      <c r="BN31" s="250">
        <f t="shared" si="13"/>
        <v>0</v>
      </c>
      <c r="BO31" s="250">
        <f t="shared" si="13"/>
        <v>0</v>
      </c>
      <c r="BP31" s="250">
        <f t="shared" si="13"/>
        <v>0</v>
      </c>
      <c r="BQ31" s="250">
        <f t="shared" si="13"/>
        <v>0</v>
      </c>
      <c r="BR31" s="250">
        <f t="shared" si="13"/>
        <v>0</v>
      </c>
      <c r="BS31" s="250">
        <f t="shared" si="13"/>
        <v>0</v>
      </c>
      <c r="BT31" s="250">
        <f t="shared" si="13"/>
        <v>0</v>
      </c>
      <c r="BU31" s="35"/>
      <c r="BV31" s="250">
        <f>SUM(BV28:BV29)</f>
        <v>0</v>
      </c>
      <c r="BW31" s="250">
        <f>SUM(BW28:BW29)</f>
        <v>0</v>
      </c>
      <c r="BX31" s="250">
        <f>SUM(BX28:BX29)</f>
        <v>0</v>
      </c>
      <c r="BY31" s="250">
        <f>SUM(BY28:BY29)</f>
        <v>0</v>
      </c>
      <c r="BZ31" s="250">
        <f>SUM(BZ28:BZ29)</f>
        <v>0</v>
      </c>
    </row>
    <row r="32" spans="1:78">
      <c r="A32" s="97"/>
      <c r="B32" s="97"/>
      <c r="C32" s="97"/>
      <c r="D32" s="97"/>
      <c r="E32" s="97"/>
      <c r="F32" s="52"/>
      <c r="G32" s="97"/>
      <c r="H32" s="97"/>
      <c r="I32" s="97"/>
      <c r="J32" s="97"/>
      <c r="K32" s="97"/>
      <c r="BU32" s="35"/>
      <c r="BV32" s="58"/>
      <c r="BW32" s="58"/>
      <c r="BX32" s="58"/>
      <c r="BY32" s="58"/>
      <c r="BZ32" s="58"/>
    </row>
    <row r="33" spans="1:78" ht="15.6">
      <c r="A33" s="251" t="s">
        <v>209</v>
      </c>
      <c r="B33" s="252"/>
      <c r="C33" s="252"/>
      <c r="D33" s="252"/>
      <c r="E33" s="252"/>
      <c r="F33" s="52"/>
      <c r="G33" s="97"/>
      <c r="H33" s="97"/>
      <c r="I33" s="97"/>
      <c r="J33" s="97"/>
      <c r="K33" s="97"/>
      <c r="BU33" s="35"/>
      <c r="BV33" s="58"/>
      <c r="BW33" s="58"/>
      <c r="BX33" s="58"/>
      <c r="BY33" s="58"/>
      <c r="BZ33" s="58"/>
    </row>
    <row r="34" spans="1:78">
      <c r="A34" s="188" t="s">
        <v>137</v>
      </c>
      <c r="B34" s="97" t="s">
        <v>210</v>
      </c>
      <c r="C34" s="188"/>
      <c r="D34" s="188"/>
      <c r="E34" s="188"/>
      <c r="F34" s="253"/>
      <c r="G34" s="220"/>
      <c r="H34" s="220"/>
      <c r="I34" s="220"/>
      <c r="J34" s="220"/>
      <c r="K34" s="220"/>
      <c r="L34" s="28"/>
      <c r="BU34" s="35"/>
      <c r="BV34" s="58">
        <f t="shared" ref="BV34:BZ38" si="14">SUMIF($M$3:$BT$3,BV$3,$M34:$BT34)</f>
        <v>0</v>
      </c>
      <c r="BW34" s="58">
        <f t="shared" si="14"/>
        <v>0</v>
      </c>
      <c r="BX34" s="58">
        <f t="shared" si="14"/>
        <v>0</v>
      </c>
      <c r="BY34" s="58">
        <f t="shared" si="14"/>
        <v>0</v>
      </c>
      <c r="BZ34" s="58">
        <f t="shared" si="14"/>
        <v>0</v>
      </c>
    </row>
    <row r="35" spans="1:78">
      <c r="A35" s="188" t="s">
        <v>137</v>
      </c>
      <c r="B35" s="97" t="s">
        <v>211</v>
      </c>
      <c r="C35" s="188"/>
      <c r="D35" s="188"/>
      <c r="E35" s="188"/>
      <c r="F35" s="52"/>
      <c r="G35" s="97"/>
      <c r="H35" s="97"/>
      <c r="I35" s="97"/>
      <c r="J35" s="97"/>
      <c r="K35" s="97"/>
      <c r="BU35" s="35"/>
      <c r="BV35" s="58">
        <f t="shared" si="14"/>
        <v>0</v>
      </c>
      <c r="BW35" s="58">
        <f t="shared" si="14"/>
        <v>0</v>
      </c>
      <c r="BX35" s="58">
        <f t="shared" si="14"/>
        <v>0</v>
      </c>
      <c r="BY35" s="58">
        <f t="shared" si="14"/>
        <v>0</v>
      </c>
      <c r="BZ35" s="58">
        <f t="shared" si="14"/>
        <v>0</v>
      </c>
    </row>
    <row r="36" spans="1:78">
      <c r="A36" s="188" t="s">
        <v>139</v>
      </c>
      <c r="B36" s="188" t="s">
        <v>194</v>
      </c>
      <c r="C36" s="188"/>
      <c r="D36" s="188"/>
      <c r="E36" s="188"/>
      <c r="F36" s="52"/>
      <c r="G36" s="97"/>
      <c r="H36" s="97"/>
      <c r="I36" s="97"/>
      <c r="J36" s="97"/>
      <c r="K36" s="97"/>
      <c r="BU36" s="35"/>
      <c r="BV36" s="58">
        <f t="shared" si="14"/>
        <v>0</v>
      </c>
      <c r="BW36" s="58">
        <f t="shared" si="14"/>
        <v>0</v>
      </c>
      <c r="BX36" s="58">
        <f t="shared" si="14"/>
        <v>0</v>
      </c>
      <c r="BY36" s="58">
        <f t="shared" si="14"/>
        <v>0</v>
      </c>
      <c r="BZ36" s="58">
        <f t="shared" si="14"/>
        <v>0</v>
      </c>
    </row>
    <row r="37" spans="1:78">
      <c r="A37" s="188" t="s">
        <v>137</v>
      </c>
      <c r="B37" s="188" t="s">
        <v>212</v>
      </c>
      <c r="C37" s="188"/>
      <c r="D37" s="188"/>
      <c r="E37" s="188"/>
      <c r="F37" s="52"/>
      <c r="G37" s="97"/>
      <c r="H37" s="97"/>
      <c r="I37" s="97"/>
      <c r="J37" s="97"/>
      <c r="K37" s="97"/>
      <c r="BU37" s="35"/>
      <c r="BV37" s="58">
        <f t="shared" si="14"/>
        <v>0</v>
      </c>
      <c r="BW37" s="58">
        <f t="shared" si="14"/>
        <v>0</v>
      </c>
      <c r="BX37" s="58">
        <f t="shared" si="14"/>
        <v>0</v>
      </c>
      <c r="BY37" s="58">
        <f t="shared" si="14"/>
        <v>0</v>
      </c>
      <c r="BZ37" s="58">
        <f t="shared" si="14"/>
        <v>0</v>
      </c>
    </row>
    <row r="38" spans="1:78">
      <c r="A38" s="188" t="s">
        <v>137</v>
      </c>
      <c r="B38" s="188" t="s">
        <v>213</v>
      </c>
      <c r="C38" s="188"/>
      <c r="D38" s="188"/>
      <c r="E38" s="188"/>
      <c r="F38" s="52"/>
      <c r="G38" s="97"/>
      <c r="H38" s="97"/>
      <c r="I38" s="97"/>
      <c r="J38" s="97"/>
      <c r="K38" s="97"/>
      <c r="BU38" s="35"/>
      <c r="BV38" s="58">
        <f t="shared" si="14"/>
        <v>0</v>
      </c>
      <c r="BW38" s="58">
        <f t="shared" si="14"/>
        <v>0</v>
      </c>
      <c r="BX38" s="58">
        <f t="shared" si="14"/>
        <v>0</v>
      </c>
      <c r="BY38" s="58">
        <f t="shared" si="14"/>
        <v>0</v>
      </c>
      <c r="BZ38" s="58">
        <f t="shared" si="14"/>
        <v>0</v>
      </c>
    </row>
    <row r="39" spans="1:78" ht="15.6">
      <c r="A39" s="246"/>
      <c r="B39" s="246" t="s">
        <v>214</v>
      </c>
      <c r="C39" s="247"/>
      <c r="D39" s="246"/>
      <c r="E39" s="246"/>
      <c r="F39" s="248"/>
      <c r="G39" s="248"/>
      <c r="H39" s="248"/>
      <c r="I39" s="248"/>
      <c r="J39" s="248"/>
      <c r="K39" s="248"/>
      <c r="L39" s="246"/>
      <c r="M39" s="246">
        <f t="shared" ref="M39:AR39" si="15">SUM(M34:M38)</f>
        <v>0</v>
      </c>
      <c r="N39" s="246">
        <f t="shared" si="15"/>
        <v>0</v>
      </c>
      <c r="O39" s="246">
        <f t="shared" si="15"/>
        <v>0</v>
      </c>
      <c r="P39" s="246">
        <f t="shared" si="15"/>
        <v>0</v>
      </c>
      <c r="Q39" s="246">
        <f t="shared" si="15"/>
        <v>0</v>
      </c>
      <c r="R39" s="246">
        <f t="shared" si="15"/>
        <v>0</v>
      </c>
      <c r="S39" s="246">
        <f t="shared" si="15"/>
        <v>0</v>
      </c>
      <c r="T39" s="246">
        <f t="shared" si="15"/>
        <v>0</v>
      </c>
      <c r="U39" s="246">
        <f t="shared" si="15"/>
        <v>0</v>
      </c>
      <c r="V39" s="246">
        <f t="shared" si="15"/>
        <v>0</v>
      </c>
      <c r="W39" s="246">
        <f t="shared" si="15"/>
        <v>0</v>
      </c>
      <c r="X39" s="246">
        <f t="shared" si="15"/>
        <v>0</v>
      </c>
      <c r="Y39" s="246">
        <f t="shared" si="15"/>
        <v>0</v>
      </c>
      <c r="Z39" s="246">
        <f t="shared" si="15"/>
        <v>0</v>
      </c>
      <c r="AA39" s="246">
        <f t="shared" si="15"/>
        <v>0</v>
      </c>
      <c r="AB39" s="246">
        <f t="shared" si="15"/>
        <v>0</v>
      </c>
      <c r="AC39" s="246">
        <f t="shared" si="15"/>
        <v>0</v>
      </c>
      <c r="AD39" s="246">
        <f t="shared" si="15"/>
        <v>0</v>
      </c>
      <c r="AE39" s="246">
        <f t="shared" si="15"/>
        <v>0</v>
      </c>
      <c r="AF39" s="246">
        <f t="shared" si="15"/>
        <v>0</v>
      </c>
      <c r="AG39" s="246">
        <f t="shared" si="15"/>
        <v>0</v>
      </c>
      <c r="AH39" s="246">
        <f t="shared" si="15"/>
        <v>0</v>
      </c>
      <c r="AI39" s="246">
        <f t="shared" si="15"/>
        <v>0</v>
      </c>
      <c r="AJ39" s="246">
        <f t="shared" si="15"/>
        <v>0</v>
      </c>
      <c r="AK39" s="246">
        <f t="shared" si="15"/>
        <v>0</v>
      </c>
      <c r="AL39" s="246">
        <f t="shared" si="15"/>
        <v>0</v>
      </c>
      <c r="AM39" s="246">
        <f t="shared" si="15"/>
        <v>0</v>
      </c>
      <c r="AN39" s="246">
        <f t="shared" si="15"/>
        <v>0</v>
      </c>
      <c r="AO39" s="246">
        <f t="shared" si="15"/>
        <v>0</v>
      </c>
      <c r="AP39" s="246">
        <f t="shared" si="15"/>
        <v>0</v>
      </c>
      <c r="AQ39" s="246">
        <f t="shared" si="15"/>
        <v>0</v>
      </c>
      <c r="AR39" s="246">
        <f t="shared" si="15"/>
        <v>0</v>
      </c>
      <c r="AS39" s="246">
        <f t="shared" ref="AS39:BX39" si="16">SUM(AS34:AS38)</f>
        <v>0</v>
      </c>
      <c r="AT39" s="246">
        <f t="shared" si="16"/>
        <v>0</v>
      </c>
      <c r="AU39" s="246">
        <f t="shared" si="16"/>
        <v>0</v>
      </c>
      <c r="AV39" s="246">
        <f t="shared" si="16"/>
        <v>0</v>
      </c>
      <c r="AW39" s="246">
        <f t="shared" si="16"/>
        <v>0</v>
      </c>
      <c r="AX39" s="246">
        <f t="shared" si="16"/>
        <v>0</v>
      </c>
      <c r="AY39" s="246">
        <f t="shared" si="16"/>
        <v>0</v>
      </c>
      <c r="AZ39" s="246">
        <f t="shared" si="16"/>
        <v>0</v>
      </c>
      <c r="BA39" s="246">
        <f t="shared" si="16"/>
        <v>0</v>
      </c>
      <c r="BB39" s="246">
        <f t="shared" si="16"/>
        <v>0</v>
      </c>
      <c r="BC39" s="246">
        <f t="shared" si="16"/>
        <v>0</v>
      </c>
      <c r="BD39" s="246">
        <f t="shared" si="16"/>
        <v>0</v>
      </c>
      <c r="BE39" s="246">
        <f t="shared" si="16"/>
        <v>0</v>
      </c>
      <c r="BF39" s="246">
        <f t="shared" si="16"/>
        <v>0</v>
      </c>
      <c r="BG39" s="246">
        <f t="shared" si="16"/>
        <v>0</v>
      </c>
      <c r="BH39" s="246">
        <f t="shared" si="16"/>
        <v>0</v>
      </c>
      <c r="BI39" s="246">
        <f t="shared" si="16"/>
        <v>0</v>
      </c>
      <c r="BJ39" s="246">
        <f t="shared" si="16"/>
        <v>0</v>
      </c>
      <c r="BK39" s="246">
        <f t="shared" si="16"/>
        <v>0</v>
      </c>
      <c r="BL39" s="246">
        <f t="shared" si="16"/>
        <v>0</v>
      </c>
      <c r="BM39" s="246">
        <f t="shared" si="16"/>
        <v>0</v>
      </c>
      <c r="BN39" s="246">
        <f t="shared" si="16"/>
        <v>0</v>
      </c>
      <c r="BO39" s="246">
        <f t="shared" si="16"/>
        <v>0</v>
      </c>
      <c r="BP39" s="246">
        <f t="shared" si="16"/>
        <v>0</v>
      </c>
      <c r="BQ39" s="246">
        <f t="shared" si="16"/>
        <v>0</v>
      </c>
      <c r="BR39" s="246">
        <f t="shared" si="16"/>
        <v>0</v>
      </c>
      <c r="BS39" s="246">
        <f t="shared" si="16"/>
        <v>0</v>
      </c>
      <c r="BT39" s="246">
        <f t="shared" si="16"/>
        <v>0</v>
      </c>
      <c r="BU39" s="35"/>
      <c r="BV39" s="250">
        <f>SUM(BV34:BV38)</f>
        <v>0</v>
      </c>
      <c r="BW39" s="250">
        <f>SUM(BW34:BW38)</f>
        <v>0</v>
      </c>
      <c r="BX39" s="250">
        <f>SUM(BX34:BX38)</f>
        <v>0</v>
      </c>
      <c r="BY39" s="250">
        <f>SUM(BY34:BY38)</f>
        <v>0</v>
      </c>
      <c r="BZ39" s="250">
        <f>SUM(BZ34:BZ38)</f>
        <v>0</v>
      </c>
    </row>
    <row r="40" spans="1:78">
      <c r="A40" s="97"/>
      <c r="B40" s="97"/>
      <c r="C40" s="97"/>
      <c r="D40" s="97"/>
      <c r="E40" s="97"/>
      <c r="F40" s="52"/>
      <c r="G40" s="97"/>
      <c r="H40" s="97"/>
      <c r="I40" s="97"/>
      <c r="J40" s="97"/>
      <c r="K40" s="97"/>
      <c r="BU40" s="35"/>
      <c r="BV40" s="58"/>
      <c r="BW40" s="58"/>
      <c r="BX40" s="58"/>
      <c r="BY40" s="58"/>
      <c r="BZ40" s="58"/>
    </row>
    <row r="41" spans="1:78" ht="15.6">
      <c r="A41" s="248"/>
      <c r="B41" s="248" t="s">
        <v>215</v>
      </c>
      <c r="C41" s="248"/>
      <c r="D41" s="248"/>
      <c r="E41" s="248"/>
      <c r="F41" s="248"/>
      <c r="G41" s="248"/>
      <c r="H41" s="248"/>
      <c r="I41" s="248"/>
      <c r="J41" s="248"/>
      <c r="K41" s="248"/>
      <c r="L41" s="246"/>
      <c r="M41" s="250">
        <f t="shared" ref="M41:AR41" si="17">M39+M31+M25</f>
        <v>-26531.164142303656</v>
      </c>
      <c r="N41" s="250">
        <f t="shared" si="17"/>
        <v>-26573.365520226893</v>
      </c>
      <c r="O41" s="250">
        <f t="shared" si="17"/>
        <v>-22991.200924215649</v>
      </c>
      <c r="P41" s="250">
        <f t="shared" si="17"/>
        <v>-20784.683034791226</v>
      </c>
      <c r="Q41" s="250">
        <f t="shared" si="17"/>
        <v>-20828.824786085366</v>
      </c>
      <c r="R41" s="250">
        <f t="shared" si="17"/>
        <v>-18215.458182870974</v>
      </c>
      <c r="S41" s="250">
        <f t="shared" si="17"/>
        <v>-16861.981031604966</v>
      </c>
      <c r="T41" s="250">
        <f t="shared" si="17"/>
        <v>-16909.797318742905</v>
      </c>
      <c r="U41" s="250">
        <f t="shared" si="17"/>
        <v>-13333.327622208668</v>
      </c>
      <c r="V41" s="250">
        <f t="shared" si="17"/>
        <v>-11132.586222328795</v>
      </c>
      <c r="W41" s="250">
        <f t="shared" si="17"/>
        <v>-11182.587685036389</v>
      </c>
      <c r="X41" s="250">
        <f t="shared" si="17"/>
        <v>-7608.3468675831937</v>
      </c>
      <c r="Y41" s="250">
        <f t="shared" si="17"/>
        <v>-8165.2235225771001</v>
      </c>
      <c r="Z41" s="250">
        <f t="shared" si="17"/>
        <v>-8219.1593071802199</v>
      </c>
      <c r="AA41" s="250">
        <f t="shared" si="17"/>
        <v>-4648.8991901384652</v>
      </c>
      <c r="AB41" s="250">
        <f t="shared" si="17"/>
        <v>-2454.4592534189505</v>
      </c>
      <c r="AC41" s="250">
        <f t="shared" si="17"/>
        <v>-2510.8559006281066</v>
      </c>
      <c r="AD41" s="250">
        <f t="shared" si="17"/>
        <v>1056.8941365554856</v>
      </c>
      <c r="AE41" s="250">
        <f t="shared" si="17"/>
        <v>3248.7737918196799</v>
      </c>
      <c r="AF41" s="250">
        <f t="shared" si="17"/>
        <v>3189.7656575260989</v>
      </c>
      <c r="AG41" s="250">
        <f t="shared" si="17"/>
        <v>5734.8234131538047</v>
      </c>
      <c r="AH41" s="250">
        <f t="shared" si="17"/>
        <v>7923.1783792055649</v>
      </c>
      <c r="AI41" s="250">
        <f t="shared" si="17"/>
        <v>7860.5912158762803</v>
      </c>
      <c r="AJ41" s="250">
        <f t="shared" si="17"/>
        <v>11422.04308057834</v>
      </c>
      <c r="AK41" s="250">
        <f t="shared" si="17"/>
        <v>11473.439844866851</v>
      </c>
      <c r="AL41" s="250">
        <f t="shared" si="17"/>
        <v>11407.911722924691</v>
      </c>
      <c r="AM41" s="250">
        <f t="shared" si="17"/>
        <v>11341.36380984162</v>
      </c>
      <c r="AN41" s="250">
        <f t="shared" si="17"/>
        <v>11273.775709794812</v>
      </c>
      <c r="AO41" s="250">
        <f t="shared" si="17"/>
        <v>11205.126619044997</v>
      </c>
      <c r="AP41" s="250">
        <f t="shared" si="17"/>
        <v>14760.395317778122</v>
      </c>
      <c r="AQ41" s="250">
        <f t="shared" si="17"/>
        <v>16939.560161783833</v>
      </c>
      <c r="AR41" s="250">
        <f t="shared" si="17"/>
        <v>16867.599073967591</v>
      </c>
      <c r="AS41" s="250">
        <f t="shared" ref="AS41:BT41" si="18">AS39+AS31+AS25</f>
        <v>16794.489535692948</v>
      </c>
      <c r="AT41" s="250">
        <f t="shared" si="18"/>
        <v>16720.208577950747</v>
      </c>
      <c r="AU41" s="250">
        <f t="shared" si="18"/>
        <v>16644.732772351621</v>
      </c>
      <c r="AV41" s="250">
        <f t="shared" si="18"/>
        <v>17603.874108969569</v>
      </c>
      <c r="AW41" s="250">
        <f t="shared" si="18"/>
        <v>17461.426140115269</v>
      </c>
      <c r="AX41" s="250">
        <f t="shared" si="18"/>
        <v>17381.412789837421</v>
      </c>
      <c r="AY41" s="250">
        <f t="shared" si="18"/>
        <v>17300.106097812939</v>
      </c>
      <c r="AZ41" s="250">
        <f t="shared" si="18"/>
        <v>20842.480197206882</v>
      </c>
      <c r="BA41" s="250">
        <f t="shared" si="18"/>
        <v>23008.508703847634</v>
      </c>
      <c r="BB41" s="250">
        <f t="shared" si="18"/>
        <v>22923.164705880132</v>
      </c>
      <c r="BC41" s="250">
        <f t="shared" si="18"/>
        <v>22836.420753212209</v>
      </c>
      <c r="BD41" s="250">
        <f t="shared" si="18"/>
        <v>25246.187784817565</v>
      </c>
      <c r="BE41" s="250">
        <f t="shared" si="18"/>
        <v>27405.751667435077</v>
      </c>
      <c r="BF41" s="250">
        <f t="shared" si="18"/>
        <v>27313.829906924853</v>
      </c>
      <c r="BG41" s="250">
        <f t="shared" si="18"/>
        <v>27220.392790424361</v>
      </c>
      <c r="BH41" s="250">
        <f t="shared" si="18"/>
        <v>30750.410010813765</v>
      </c>
      <c r="BI41" s="250">
        <f t="shared" si="18"/>
        <v>30323.574815039872</v>
      </c>
      <c r="BJ41" s="250">
        <f t="shared" si="18"/>
        <v>33850.407351157257</v>
      </c>
      <c r="BK41" s="250">
        <f t="shared" si="18"/>
        <v>36000.599617216911</v>
      </c>
      <c r="BL41" s="250">
        <f t="shared" si="18"/>
        <v>39524.118807817678</v>
      </c>
      <c r="BM41" s="250">
        <f t="shared" si="18"/>
        <v>41670.931461450382</v>
      </c>
      <c r="BN41" s="250">
        <f t="shared" si="18"/>
        <v>45191.00344737566</v>
      </c>
      <c r="BO41" s="250">
        <f t="shared" si="18"/>
        <v>47334.299952239366</v>
      </c>
      <c r="BP41" s="250">
        <f t="shared" si="18"/>
        <v>49666.460259662097</v>
      </c>
      <c r="BQ41" s="250">
        <f t="shared" si="18"/>
        <v>51805.290865296738</v>
      </c>
      <c r="BR41" s="250">
        <f t="shared" si="18"/>
        <v>34862.548540625867</v>
      </c>
      <c r="BS41" s="250">
        <f t="shared" si="18"/>
        <v>36991.91926740497</v>
      </c>
      <c r="BT41" s="250">
        <f t="shared" si="18"/>
        <v>40494.329719627567</v>
      </c>
      <c r="BU41" s="35"/>
      <c r="BV41" s="250">
        <f>BV39+BV31+BV25</f>
        <v>-212953.32333799865</v>
      </c>
      <c r="BW41" s="250">
        <f>BW39+BW31+BW25</f>
        <v>14437.472500772412</v>
      </c>
      <c r="BX41" s="250">
        <f>BX39+BX31+BX25</f>
        <v>173032.47725496738</v>
      </c>
      <c r="BY41" s="250">
        <f>BY39+BY31+BY25</f>
        <v>279690.09154832806</v>
      </c>
      <c r="BZ41" s="250">
        <f>BZ39+BZ31+BZ25</f>
        <v>487715.4841049143</v>
      </c>
    </row>
    <row r="42" spans="1:78">
      <c r="A42" s="188"/>
      <c r="B42" s="188" t="s">
        <v>216</v>
      </c>
      <c r="C42" s="188"/>
      <c r="D42" s="188"/>
      <c r="E42" s="188"/>
      <c r="F42" s="52"/>
      <c r="G42" s="97"/>
      <c r="H42" s="97"/>
      <c r="I42" s="97"/>
      <c r="J42" s="97"/>
      <c r="K42" s="97"/>
      <c r="M42" s="58">
        <v>0</v>
      </c>
      <c r="N42" s="58">
        <f t="shared" ref="N42:AS42" si="19">M43</f>
        <v>-26531.164142303656</v>
      </c>
      <c r="O42" s="58">
        <f t="shared" si="19"/>
        <v>-53104.529662530549</v>
      </c>
      <c r="P42" s="58">
        <f t="shared" si="19"/>
        <v>-76095.730586746198</v>
      </c>
      <c r="Q42" s="58">
        <f t="shared" si="19"/>
        <v>-96880.413621537416</v>
      </c>
      <c r="R42" s="58">
        <f t="shared" si="19"/>
        <v>-117709.23840762279</v>
      </c>
      <c r="S42" s="58">
        <f t="shared" si="19"/>
        <v>-135924.69659049375</v>
      </c>
      <c r="T42" s="58">
        <f t="shared" si="19"/>
        <v>-152786.67762209871</v>
      </c>
      <c r="U42" s="58">
        <f t="shared" si="19"/>
        <v>-169696.47494084161</v>
      </c>
      <c r="V42" s="58">
        <f t="shared" si="19"/>
        <v>-183029.80256305027</v>
      </c>
      <c r="W42" s="58">
        <f t="shared" si="19"/>
        <v>-194162.38878537907</v>
      </c>
      <c r="X42" s="58">
        <f t="shared" si="19"/>
        <v>-205344.97647041545</v>
      </c>
      <c r="Y42" s="58">
        <f t="shared" si="19"/>
        <v>-212953.32333799865</v>
      </c>
      <c r="Z42" s="58">
        <f t="shared" si="19"/>
        <v>-221118.54686057573</v>
      </c>
      <c r="AA42" s="58">
        <f t="shared" si="19"/>
        <v>-229337.70616775594</v>
      </c>
      <c r="AB42" s="58">
        <f t="shared" si="19"/>
        <v>-233986.60535789441</v>
      </c>
      <c r="AC42" s="58">
        <f t="shared" si="19"/>
        <v>-236441.06461131337</v>
      </c>
      <c r="AD42" s="58">
        <f t="shared" si="19"/>
        <v>-238951.92051194148</v>
      </c>
      <c r="AE42" s="58">
        <f t="shared" si="19"/>
        <v>-237895.02637538599</v>
      </c>
      <c r="AF42" s="58">
        <f t="shared" si="19"/>
        <v>-234646.2525835663</v>
      </c>
      <c r="AG42" s="58">
        <f t="shared" si="19"/>
        <v>-231456.4869260402</v>
      </c>
      <c r="AH42" s="58">
        <f t="shared" si="19"/>
        <v>-225721.66351288639</v>
      </c>
      <c r="AI42" s="58">
        <f t="shared" si="19"/>
        <v>-217798.48513368081</v>
      </c>
      <c r="AJ42" s="58">
        <f t="shared" si="19"/>
        <v>-209937.89391780453</v>
      </c>
      <c r="AK42" s="58">
        <f t="shared" si="19"/>
        <v>-198515.8508372262</v>
      </c>
      <c r="AL42" s="58">
        <f t="shared" si="19"/>
        <v>-187042.41099235934</v>
      </c>
      <c r="AM42" s="58">
        <f t="shared" si="19"/>
        <v>-175634.49926943466</v>
      </c>
      <c r="AN42" s="58">
        <f t="shared" si="19"/>
        <v>-164293.13545959303</v>
      </c>
      <c r="AO42" s="58">
        <f t="shared" si="19"/>
        <v>-153019.35974979823</v>
      </c>
      <c r="AP42" s="58">
        <f t="shared" si="19"/>
        <v>-141814.23313075321</v>
      </c>
      <c r="AQ42" s="58">
        <f t="shared" si="19"/>
        <v>-127053.83781297509</v>
      </c>
      <c r="AR42" s="58">
        <f t="shared" si="19"/>
        <v>-110114.27765119125</v>
      </c>
      <c r="AS42" s="58">
        <f t="shared" si="19"/>
        <v>-93246.678577223662</v>
      </c>
      <c r="AT42" s="58">
        <f t="shared" ref="AT42:BT42" si="20">AS43</f>
        <v>-76452.189041530713</v>
      </c>
      <c r="AU42" s="58">
        <f t="shared" si="20"/>
        <v>-59731.980463579966</v>
      </c>
      <c r="AV42" s="58">
        <f t="shared" si="20"/>
        <v>-43087.247691228346</v>
      </c>
      <c r="AW42" s="58">
        <f t="shared" si="20"/>
        <v>-25483.373582258777</v>
      </c>
      <c r="AX42" s="58">
        <f t="shared" si="20"/>
        <v>-8021.9474421435079</v>
      </c>
      <c r="AY42" s="58">
        <f t="shared" si="20"/>
        <v>9359.4653476939129</v>
      </c>
      <c r="AZ42" s="58">
        <f t="shared" si="20"/>
        <v>26659.571445506852</v>
      </c>
      <c r="BA42" s="58">
        <f t="shared" si="20"/>
        <v>47502.051642713734</v>
      </c>
      <c r="BB42" s="58">
        <f t="shared" si="20"/>
        <v>70510.560346561368</v>
      </c>
      <c r="BC42" s="58">
        <f t="shared" si="20"/>
        <v>93433.725052441499</v>
      </c>
      <c r="BD42" s="58">
        <f t="shared" si="20"/>
        <v>116270.14580565371</v>
      </c>
      <c r="BE42" s="58">
        <f t="shared" si="20"/>
        <v>141516.33359047127</v>
      </c>
      <c r="BF42" s="58">
        <f t="shared" si="20"/>
        <v>168922.08525790635</v>
      </c>
      <c r="BG42" s="58">
        <f t="shared" si="20"/>
        <v>196235.91516483121</v>
      </c>
      <c r="BH42" s="58">
        <f t="shared" si="20"/>
        <v>223456.30795525556</v>
      </c>
      <c r="BI42" s="58">
        <f t="shared" si="20"/>
        <v>254206.71796606932</v>
      </c>
      <c r="BJ42" s="58">
        <f t="shared" si="20"/>
        <v>284530.29278110922</v>
      </c>
      <c r="BK42" s="58">
        <f t="shared" si="20"/>
        <v>318380.7001322665</v>
      </c>
      <c r="BL42" s="58">
        <f t="shared" si="20"/>
        <v>354381.29974948341</v>
      </c>
      <c r="BM42" s="58">
        <f t="shared" si="20"/>
        <v>393905.41855730111</v>
      </c>
      <c r="BN42" s="58">
        <f t="shared" si="20"/>
        <v>435576.35001875146</v>
      </c>
      <c r="BO42" s="58">
        <f t="shared" si="20"/>
        <v>480767.35346612713</v>
      </c>
      <c r="BP42" s="58">
        <f t="shared" si="20"/>
        <v>528101.65341836645</v>
      </c>
      <c r="BQ42" s="58">
        <f t="shared" si="20"/>
        <v>577768.11367802857</v>
      </c>
      <c r="BR42" s="58">
        <f t="shared" si="20"/>
        <v>629573.4045433253</v>
      </c>
      <c r="BS42" s="58">
        <f t="shared" si="20"/>
        <v>664435.95308395114</v>
      </c>
      <c r="BT42" s="58">
        <f t="shared" si="20"/>
        <v>701427.87235135608</v>
      </c>
      <c r="BU42" s="35"/>
      <c r="BV42" s="58">
        <f>M42</f>
        <v>0</v>
      </c>
      <c r="BW42" s="58">
        <f>BV43</f>
        <v>-212953.32333799865</v>
      </c>
      <c r="BX42" s="58">
        <f>BW43</f>
        <v>-198515.85083722623</v>
      </c>
      <c r="BY42" s="58">
        <f>BX43</f>
        <v>-25483.37358225885</v>
      </c>
      <c r="BZ42" s="58">
        <f>BY43</f>
        <v>254206.71796606921</v>
      </c>
    </row>
    <row r="43" spans="1:78" ht="15.6">
      <c r="A43" s="256"/>
      <c r="B43" s="256" t="s">
        <v>217</v>
      </c>
      <c r="C43" s="184"/>
      <c r="D43" s="184"/>
      <c r="E43" s="184"/>
      <c r="F43" s="237"/>
      <c r="G43" s="257"/>
      <c r="H43" s="257"/>
      <c r="I43" s="257"/>
      <c r="J43" s="257"/>
      <c r="K43" s="257"/>
      <c r="L43" s="258"/>
      <c r="M43" s="259">
        <f t="shared" ref="M43:AR43" si="21">M42+M41</f>
        <v>-26531.164142303656</v>
      </c>
      <c r="N43" s="259">
        <f t="shared" si="21"/>
        <v>-53104.529662530549</v>
      </c>
      <c r="O43" s="259">
        <f t="shared" si="21"/>
        <v>-76095.730586746198</v>
      </c>
      <c r="P43" s="259">
        <f t="shared" si="21"/>
        <v>-96880.413621537416</v>
      </c>
      <c r="Q43" s="259">
        <f t="shared" si="21"/>
        <v>-117709.23840762279</v>
      </c>
      <c r="R43" s="259">
        <f t="shared" si="21"/>
        <v>-135924.69659049375</v>
      </c>
      <c r="S43" s="259">
        <f t="shared" si="21"/>
        <v>-152786.67762209871</v>
      </c>
      <c r="T43" s="259">
        <f t="shared" si="21"/>
        <v>-169696.47494084161</v>
      </c>
      <c r="U43" s="259">
        <f t="shared" si="21"/>
        <v>-183029.80256305027</v>
      </c>
      <c r="V43" s="259">
        <f t="shared" si="21"/>
        <v>-194162.38878537907</v>
      </c>
      <c r="W43" s="259">
        <f t="shared" si="21"/>
        <v>-205344.97647041545</v>
      </c>
      <c r="X43" s="259">
        <f t="shared" si="21"/>
        <v>-212953.32333799865</v>
      </c>
      <c r="Y43" s="259">
        <f t="shared" si="21"/>
        <v>-221118.54686057573</v>
      </c>
      <c r="Z43" s="259">
        <f t="shared" si="21"/>
        <v>-229337.70616775594</v>
      </c>
      <c r="AA43" s="259">
        <f t="shared" si="21"/>
        <v>-233986.60535789441</v>
      </c>
      <c r="AB43" s="259">
        <f t="shared" si="21"/>
        <v>-236441.06461131337</v>
      </c>
      <c r="AC43" s="259">
        <f t="shared" si="21"/>
        <v>-238951.92051194148</v>
      </c>
      <c r="AD43" s="259">
        <f t="shared" si="21"/>
        <v>-237895.02637538599</v>
      </c>
      <c r="AE43" s="259">
        <f t="shared" si="21"/>
        <v>-234646.2525835663</v>
      </c>
      <c r="AF43" s="259">
        <f t="shared" si="21"/>
        <v>-231456.4869260402</v>
      </c>
      <c r="AG43" s="259">
        <f t="shared" si="21"/>
        <v>-225721.66351288639</v>
      </c>
      <c r="AH43" s="259">
        <f t="shared" si="21"/>
        <v>-217798.48513368081</v>
      </c>
      <c r="AI43" s="259">
        <f t="shared" si="21"/>
        <v>-209937.89391780453</v>
      </c>
      <c r="AJ43" s="259">
        <f t="shared" si="21"/>
        <v>-198515.8508372262</v>
      </c>
      <c r="AK43" s="259">
        <f t="shared" si="21"/>
        <v>-187042.41099235934</v>
      </c>
      <c r="AL43" s="259">
        <f t="shared" si="21"/>
        <v>-175634.49926943466</v>
      </c>
      <c r="AM43" s="259">
        <f t="shared" si="21"/>
        <v>-164293.13545959303</v>
      </c>
      <c r="AN43" s="259">
        <f t="shared" si="21"/>
        <v>-153019.35974979823</v>
      </c>
      <c r="AO43" s="259">
        <f t="shared" si="21"/>
        <v>-141814.23313075321</v>
      </c>
      <c r="AP43" s="259">
        <f t="shared" si="21"/>
        <v>-127053.83781297509</v>
      </c>
      <c r="AQ43" s="259">
        <f t="shared" si="21"/>
        <v>-110114.27765119125</v>
      </c>
      <c r="AR43" s="259">
        <f t="shared" si="21"/>
        <v>-93246.678577223662</v>
      </c>
      <c r="AS43" s="259">
        <f t="shared" ref="AS43:BX43" si="22">AS42+AS41</f>
        <v>-76452.189041530713</v>
      </c>
      <c r="AT43" s="259">
        <f t="shared" si="22"/>
        <v>-59731.980463579966</v>
      </c>
      <c r="AU43" s="259">
        <f t="shared" si="22"/>
        <v>-43087.247691228346</v>
      </c>
      <c r="AV43" s="259">
        <f t="shared" si="22"/>
        <v>-25483.373582258777</v>
      </c>
      <c r="AW43" s="259">
        <f t="shared" si="22"/>
        <v>-8021.9474421435079</v>
      </c>
      <c r="AX43" s="259">
        <f t="shared" si="22"/>
        <v>9359.4653476939129</v>
      </c>
      <c r="AY43" s="259">
        <f t="shared" si="22"/>
        <v>26659.571445506852</v>
      </c>
      <c r="AZ43" s="259">
        <f t="shared" si="22"/>
        <v>47502.051642713734</v>
      </c>
      <c r="BA43" s="259">
        <f t="shared" si="22"/>
        <v>70510.560346561368</v>
      </c>
      <c r="BB43" s="259">
        <f t="shared" si="22"/>
        <v>93433.725052441499</v>
      </c>
      <c r="BC43" s="259">
        <f t="shared" si="22"/>
        <v>116270.14580565371</v>
      </c>
      <c r="BD43" s="259">
        <f t="shared" si="22"/>
        <v>141516.33359047127</v>
      </c>
      <c r="BE43" s="259">
        <f t="shared" si="22"/>
        <v>168922.08525790635</v>
      </c>
      <c r="BF43" s="259">
        <f t="shared" si="22"/>
        <v>196235.91516483121</v>
      </c>
      <c r="BG43" s="259">
        <f t="shared" si="22"/>
        <v>223456.30795525556</v>
      </c>
      <c r="BH43" s="259">
        <f t="shared" si="22"/>
        <v>254206.71796606932</v>
      </c>
      <c r="BI43" s="259">
        <f t="shared" si="22"/>
        <v>284530.29278110922</v>
      </c>
      <c r="BJ43" s="259">
        <f t="shared" si="22"/>
        <v>318380.7001322665</v>
      </c>
      <c r="BK43" s="259">
        <f t="shared" si="22"/>
        <v>354381.29974948341</v>
      </c>
      <c r="BL43" s="259">
        <f t="shared" si="22"/>
        <v>393905.41855730111</v>
      </c>
      <c r="BM43" s="259">
        <f t="shared" si="22"/>
        <v>435576.35001875146</v>
      </c>
      <c r="BN43" s="259">
        <f t="shared" si="22"/>
        <v>480767.35346612713</v>
      </c>
      <c r="BO43" s="259">
        <f t="shared" si="22"/>
        <v>528101.65341836645</v>
      </c>
      <c r="BP43" s="259">
        <f t="shared" si="22"/>
        <v>577768.11367802857</v>
      </c>
      <c r="BQ43" s="259">
        <f t="shared" si="22"/>
        <v>629573.4045433253</v>
      </c>
      <c r="BR43" s="259">
        <f t="shared" si="22"/>
        <v>664435.95308395114</v>
      </c>
      <c r="BS43" s="259">
        <f t="shared" si="22"/>
        <v>701427.87235135608</v>
      </c>
      <c r="BT43" s="259">
        <f t="shared" si="22"/>
        <v>741922.20207098359</v>
      </c>
      <c r="BU43" s="35"/>
      <c r="BV43" s="259">
        <f>BV42+BV41</f>
        <v>-212953.32333799865</v>
      </c>
      <c r="BW43" s="259">
        <f>BW42+BW41</f>
        <v>-198515.85083722623</v>
      </c>
      <c r="BX43" s="259">
        <f>BX42+BX41</f>
        <v>-25483.37358225885</v>
      </c>
      <c r="BY43" s="259">
        <f>BY42+BY41</f>
        <v>254206.71796606921</v>
      </c>
      <c r="BZ43" s="259">
        <f>BZ42+BZ41</f>
        <v>741922.20207098348</v>
      </c>
    </row>
    <row r="44" spans="1:78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AE44" s="235"/>
      <c r="AF44" s="235"/>
      <c r="BU44" s="35"/>
    </row>
    <row r="45" spans="1:78">
      <c r="A45" s="97" t="s">
        <v>70</v>
      </c>
      <c r="B45" s="97" t="s">
        <v>218</v>
      </c>
      <c r="C45" s="97"/>
      <c r="D45" s="145">
        <f>X43</f>
        <v>-212953.32333799865</v>
      </c>
      <c r="E45" s="145"/>
      <c r="F45" s="97"/>
      <c r="G45" s="97"/>
      <c r="H45" s="97"/>
      <c r="I45" s="97"/>
      <c r="J45" s="97"/>
      <c r="K45" s="97"/>
      <c r="BU45" s="35"/>
    </row>
    <row r="46" spans="1:78">
      <c r="A46" s="97"/>
      <c r="B46" s="97"/>
      <c r="C46" s="97"/>
      <c r="D46" s="145"/>
      <c r="E46" s="97"/>
      <c r="F46" s="97"/>
      <c r="G46" s="97"/>
      <c r="H46" s="97"/>
      <c r="I46" s="97"/>
      <c r="J46" s="97"/>
      <c r="K46" s="97"/>
      <c r="BU46" s="35"/>
    </row>
    <row r="47" spans="1:78">
      <c r="A47" s="97"/>
      <c r="B47" s="97"/>
      <c r="C47" s="97"/>
      <c r="D47" s="145"/>
      <c r="E47" s="97"/>
      <c r="F47" s="97"/>
      <c r="G47" s="97"/>
      <c r="H47" s="97"/>
      <c r="I47" s="97"/>
      <c r="J47" s="97"/>
      <c r="K47" s="97"/>
      <c r="BU47" s="35"/>
    </row>
    <row r="49" spans="4:4">
      <c r="D49" s="235"/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8"/>
  <sheetViews>
    <sheetView showGridLines="0" tabSelected="1" zoomScale="61" zoomScaleNormal="61" workbookViewId="0">
      <selection activeCell="B8" sqref="B8"/>
    </sheetView>
  </sheetViews>
  <sheetFormatPr defaultColWidth="29.90625" defaultRowHeight="15"/>
  <cols>
    <col min="1" max="1" width="33.36328125" customWidth="1"/>
    <col min="2" max="2" width="20.08984375" bestFit="1" customWidth="1"/>
    <col min="3" max="3" width="31.26953125" bestFit="1" customWidth="1"/>
    <col min="4" max="4" width="18.6328125" bestFit="1" customWidth="1"/>
    <col min="5" max="5" width="11.08984375" bestFit="1" customWidth="1"/>
    <col min="6" max="6" width="30.36328125" bestFit="1" customWidth="1"/>
    <col min="7" max="9" width="6.1796875" bestFit="1" customWidth="1"/>
    <col min="20" max="20" width="68.90625" bestFit="1" customWidth="1"/>
  </cols>
  <sheetData>
    <row r="1" spans="1:78" ht="23.25" customHeight="1">
      <c r="A1" s="309" t="s">
        <v>219</v>
      </c>
      <c r="B1" s="309"/>
      <c r="C1" s="309"/>
      <c r="D1" s="309"/>
      <c r="E1" s="260"/>
      <c r="F1" s="188"/>
      <c r="G1" s="188"/>
      <c r="H1" s="188"/>
      <c r="I1" s="188"/>
      <c r="J1" s="188"/>
      <c r="K1" s="188"/>
      <c r="L1" s="26"/>
      <c r="M1" s="28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1:78" ht="15.75" customHeight="1" thickBot="1">
      <c r="A2" s="261" t="s">
        <v>27</v>
      </c>
      <c r="B2" s="261">
        <f>Assumptions!G7</f>
        <v>85.17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1"/>
      <c r="AV2" s="261"/>
      <c r="AW2" s="261"/>
      <c r="AX2" s="261"/>
      <c r="AY2" s="261"/>
      <c r="AZ2" s="261"/>
      <c r="BA2" s="261"/>
      <c r="BB2" s="261"/>
      <c r="BC2" s="261"/>
      <c r="BD2" s="261"/>
      <c r="BE2" s="261"/>
      <c r="BF2" s="261"/>
      <c r="BG2" s="261"/>
      <c r="BH2" s="261"/>
      <c r="BI2" s="261"/>
      <c r="BJ2" s="261"/>
      <c r="BK2" s="261"/>
      <c r="BL2" s="261"/>
      <c r="BM2" s="261"/>
      <c r="BN2" s="261"/>
      <c r="BO2" s="261"/>
      <c r="BP2" s="261"/>
      <c r="BQ2" s="261"/>
      <c r="BR2" s="261"/>
      <c r="BS2" s="261"/>
      <c r="BT2" s="261"/>
      <c r="BU2" s="26"/>
      <c r="BV2" s="261"/>
      <c r="BW2" s="261"/>
      <c r="BX2" s="261"/>
      <c r="BY2" s="261"/>
      <c r="BZ2" s="261"/>
    </row>
    <row r="3" spans="1:78" ht="15.6">
      <c r="A3" s="187" t="s">
        <v>220</v>
      </c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26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262"/>
      <c r="AT3" s="262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  <c r="BN3" s="262"/>
      <c r="BO3" s="262"/>
      <c r="BP3" s="262"/>
      <c r="BQ3" s="262"/>
      <c r="BR3" s="262"/>
      <c r="BS3" s="262"/>
      <c r="BT3" s="262"/>
      <c r="BU3" s="12"/>
      <c r="BV3" s="263"/>
      <c r="BW3" s="263"/>
      <c r="BX3" s="263"/>
      <c r="BY3" s="263"/>
      <c r="BZ3" s="263"/>
    </row>
    <row r="4" spans="1:78" ht="15.6">
      <c r="A4" s="187"/>
      <c r="B4" s="187"/>
      <c r="C4" s="188"/>
      <c r="D4" s="188"/>
      <c r="E4" s="188"/>
      <c r="F4" s="188"/>
      <c r="G4" s="188"/>
      <c r="H4" s="188"/>
      <c r="I4" s="188"/>
      <c r="J4" s="188"/>
      <c r="K4" s="188"/>
      <c r="L4" s="26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2"/>
      <c r="BE4" s="262"/>
      <c r="BF4" s="262"/>
      <c r="BG4" s="262"/>
      <c r="BH4" s="262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12"/>
      <c r="BV4" s="262"/>
      <c r="BW4" s="262"/>
      <c r="BX4" s="262"/>
      <c r="BY4" s="262"/>
      <c r="BZ4" s="262"/>
    </row>
    <row r="5" spans="1:78" ht="23.4">
      <c r="A5" s="290" t="s">
        <v>290</v>
      </c>
      <c r="B5" s="290" t="s">
        <v>291</v>
      </c>
      <c r="C5" s="290" t="s">
        <v>292</v>
      </c>
      <c r="D5" s="290" t="s">
        <v>293</v>
      </c>
      <c r="E5" s="290" t="s">
        <v>294</v>
      </c>
      <c r="F5" s="290" t="s">
        <v>295</v>
      </c>
      <c r="G5" s="188"/>
      <c r="H5" s="188"/>
      <c r="I5" s="188"/>
      <c r="J5" s="188"/>
      <c r="K5" s="188"/>
      <c r="L5" s="26"/>
      <c r="M5" s="262"/>
      <c r="N5" s="262"/>
      <c r="O5" s="262"/>
      <c r="P5" s="262"/>
      <c r="Q5" s="262"/>
      <c r="R5" s="262"/>
      <c r="S5" s="262"/>
      <c r="T5" s="264" t="s">
        <v>221</v>
      </c>
      <c r="U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  <c r="AY5" s="262"/>
      <c r="AZ5" s="262"/>
      <c r="BA5" s="262"/>
      <c r="BB5" s="262"/>
      <c r="BC5" s="262"/>
      <c r="BD5" s="262"/>
      <c r="BE5" s="262"/>
      <c r="BF5" s="262"/>
      <c r="BG5" s="262"/>
      <c r="BH5" s="262"/>
      <c r="BI5" s="262"/>
      <c r="BJ5" s="262"/>
      <c r="BK5" s="262"/>
      <c r="BL5" s="262"/>
      <c r="BM5" s="262"/>
      <c r="BN5" s="262"/>
      <c r="BO5" s="262"/>
      <c r="BP5" s="262"/>
      <c r="BQ5" s="262"/>
      <c r="BR5" s="262"/>
      <c r="BS5" s="262"/>
      <c r="BT5" s="262"/>
      <c r="BU5" s="12"/>
      <c r="BV5" s="262"/>
      <c r="BW5" s="262"/>
      <c r="BX5" s="262"/>
      <c r="BY5" s="262"/>
      <c r="BZ5" s="262"/>
    </row>
    <row r="6" spans="1:78" ht="15.6">
      <c r="A6" s="296" t="s">
        <v>296</v>
      </c>
      <c r="B6" s="296">
        <v>81</v>
      </c>
      <c r="C6" s="296">
        <v>7.3</v>
      </c>
      <c r="D6" s="297">
        <v>0.27429999999999999</v>
      </c>
      <c r="E6" s="296">
        <v>7.35</v>
      </c>
      <c r="F6" s="296">
        <v>0.3216</v>
      </c>
      <c r="G6" s="188"/>
      <c r="H6" s="188"/>
      <c r="I6" s="188"/>
      <c r="J6" s="188"/>
      <c r="K6" s="188"/>
      <c r="L6" s="26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2"/>
      <c r="BF6" s="262"/>
      <c r="BG6" s="262"/>
      <c r="BH6" s="262"/>
      <c r="BI6" s="262"/>
      <c r="BJ6" s="262"/>
      <c r="BK6" s="262"/>
      <c r="BL6" s="262"/>
      <c r="BM6" s="262"/>
      <c r="BN6" s="262"/>
      <c r="BO6" s="262"/>
      <c r="BP6" s="262"/>
      <c r="BQ6" s="262"/>
      <c r="BR6" s="262"/>
      <c r="BS6" s="262"/>
      <c r="BT6" s="262"/>
      <c r="BU6" s="12"/>
      <c r="BV6" s="262"/>
      <c r="BW6" s="262"/>
      <c r="BX6" s="262"/>
      <c r="BY6" s="262"/>
      <c r="BZ6" s="262"/>
    </row>
    <row r="7" spans="1:78" ht="15.6">
      <c r="A7" s="296" t="s">
        <v>297</v>
      </c>
      <c r="B7" s="296">
        <v>29</v>
      </c>
      <c r="C7" s="296">
        <v>7.01</v>
      </c>
      <c r="D7" s="297">
        <v>-2.5999999999999999E-2</v>
      </c>
      <c r="E7" s="296">
        <v>7.59</v>
      </c>
      <c r="F7" s="296">
        <v>2.0500000000000001E-2</v>
      </c>
      <c r="G7" s="188"/>
      <c r="H7" s="188"/>
      <c r="I7" s="188"/>
      <c r="J7" s="188"/>
      <c r="K7" s="188"/>
      <c r="L7" s="26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12"/>
      <c r="BV7" s="45"/>
      <c r="BW7" s="45"/>
      <c r="BX7" s="45"/>
      <c r="BY7" s="45"/>
      <c r="BZ7" s="45"/>
    </row>
    <row r="8" spans="1:78" ht="15.6">
      <c r="A8" s="296" t="s">
        <v>298</v>
      </c>
      <c r="B8" s="296">
        <v>333</v>
      </c>
      <c r="C8" s="296">
        <v>11.2</v>
      </c>
      <c r="D8" s="297">
        <v>0.22939999999999999</v>
      </c>
      <c r="E8" s="296">
        <v>11.54</v>
      </c>
      <c r="F8" s="296">
        <v>0.28770000000000001</v>
      </c>
    </row>
    <row r="13" spans="1:78" ht="30.75" customHeight="1">
      <c r="C13" s="97"/>
      <c r="D13" s="265" t="s">
        <v>222</v>
      </c>
    </row>
    <row r="14" spans="1:78">
      <c r="C14" s="266" t="s">
        <v>223</v>
      </c>
      <c r="D14" s="267">
        <v>11.54</v>
      </c>
    </row>
    <row r="16" spans="1:78">
      <c r="C16" s="97"/>
      <c r="D16" s="163" t="s">
        <v>224</v>
      </c>
    </row>
    <row r="17" spans="2:15">
      <c r="C17" s="268" t="s">
        <v>225</v>
      </c>
      <c r="D17" s="269">
        <f>'Revenue Buildup'!BT17/10^6</f>
        <v>1.5</v>
      </c>
      <c r="E17" s="270"/>
    </row>
    <row r="18" spans="2:15">
      <c r="C18" s="268" t="s">
        <v>226</v>
      </c>
      <c r="D18" s="271">
        <v>15.579000000000001</v>
      </c>
      <c r="E18" s="270"/>
    </row>
    <row r="19" spans="2:15">
      <c r="C19" s="272"/>
      <c r="D19" s="97"/>
      <c r="E19" s="52"/>
    </row>
    <row r="20" spans="2:15" ht="15.6">
      <c r="C20" s="273" t="s">
        <v>227</v>
      </c>
      <c r="D20" s="274">
        <v>0.5</v>
      </c>
      <c r="E20" s="275"/>
      <c r="F20" s="138"/>
    </row>
    <row r="21" spans="2:15" ht="15.6">
      <c r="C21" s="276" t="s">
        <v>228</v>
      </c>
      <c r="D21" s="277">
        <f>D18/(1+D20)^5</f>
        <v>2.0515555555555558</v>
      </c>
      <c r="E21" s="278"/>
    </row>
    <row r="22" spans="2:15" ht="15.6">
      <c r="B22" s="279"/>
      <c r="C22" s="273" t="s">
        <v>229</v>
      </c>
      <c r="D22" s="280">
        <f>ABS(CFS!D45)/10^6</f>
        <v>0.21295332333799866</v>
      </c>
      <c r="E22" s="281"/>
    </row>
    <row r="23" spans="2:15" ht="15.6">
      <c r="B23" s="282"/>
      <c r="C23" s="276" t="s">
        <v>230</v>
      </c>
      <c r="D23" s="283">
        <f>D21-D22</f>
        <v>1.838602232217557</v>
      </c>
      <c r="E23" s="284"/>
      <c r="N23" s="58"/>
      <c r="O23" s="139"/>
    </row>
    <row r="24" spans="2:15" ht="15.6">
      <c r="B24" s="282"/>
      <c r="C24" s="273" t="s">
        <v>231</v>
      </c>
      <c r="D24" s="285">
        <f>D22/D21</f>
        <v>0.10380090500660678</v>
      </c>
      <c r="E24" s="286"/>
      <c r="N24" s="140"/>
      <c r="O24" s="138"/>
    </row>
    <row r="25" spans="2:15">
      <c r="B25" s="282"/>
      <c r="C25" s="282"/>
      <c r="D25" s="287"/>
      <c r="E25" s="288"/>
      <c r="F25" s="288"/>
      <c r="G25" s="288"/>
      <c r="H25" s="288"/>
      <c r="I25" s="288"/>
      <c r="J25" s="289"/>
    </row>
    <row r="26" spans="2:15">
      <c r="B26" s="282"/>
      <c r="C26" s="282"/>
      <c r="D26" s="287"/>
      <c r="E26" s="288"/>
      <c r="F26" s="288"/>
      <c r="G26" s="288"/>
      <c r="H26" s="288"/>
      <c r="I26" s="288"/>
      <c r="J26" s="289"/>
      <c r="N26" s="140"/>
    </row>
    <row r="27" spans="2:15">
      <c r="B27" s="282"/>
      <c r="C27" s="2" t="s">
        <v>232</v>
      </c>
      <c r="D27" s="2"/>
      <c r="E27" s="2"/>
      <c r="F27" s="2"/>
      <c r="G27" s="2"/>
      <c r="H27" s="2"/>
      <c r="I27" s="2"/>
      <c r="J27" s="289"/>
      <c r="N27" s="291"/>
    </row>
    <row r="28" spans="2:15">
      <c r="C28" s="2"/>
      <c r="D28" s="2"/>
      <c r="E28" s="2"/>
      <c r="F28" s="2"/>
      <c r="G28" s="2"/>
      <c r="H28" s="2"/>
      <c r="I28" s="2"/>
    </row>
    <row r="29" spans="2:15" ht="15.6">
      <c r="C29" s="292"/>
      <c r="D29" s="292"/>
      <c r="E29" s="292"/>
      <c r="F29" s="292"/>
      <c r="G29" s="292"/>
      <c r="H29" s="292"/>
      <c r="I29" s="292"/>
    </row>
    <row r="30" spans="2:15" ht="15.6">
      <c r="C30" s="292"/>
      <c r="D30" s="292"/>
      <c r="E30" s="1" t="s">
        <v>233</v>
      </c>
      <c r="F30" s="1"/>
      <c r="G30" s="1"/>
      <c r="H30" s="1"/>
      <c r="I30" s="1"/>
    </row>
    <row r="31" spans="2:15" ht="15.6">
      <c r="C31" s="292"/>
      <c r="D31" s="293">
        <f>D21</f>
        <v>2.0515555555555558</v>
      </c>
      <c r="E31" s="294">
        <v>9.5399999999999991</v>
      </c>
      <c r="F31" s="294">
        <v>10.54</v>
      </c>
      <c r="G31" s="294">
        <v>11.54</v>
      </c>
      <c r="H31" s="294">
        <v>12.54</v>
      </c>
      <c r="I31" s="294">
        <v>13.54</v>
      </c>
    </row>
    <row r="32" spans="2:15" ht="15.6">
      <c r="C32" s="2" t="s">
        <v>228</v>
      </c>
      <c r="D32" s="295">
        <v>0.4</v>
      </c>
      <c r="E32" s="296">
        <v>2.8966725174034602</v>
      </c>
      <c r="F32" s="296">
        <v>2.8966725174034602</v>
      </c>
      <c r="G32" s="296">
        <v>2.8966725174034602</v>
      </c>
      <c r="H32" s="296">
        <v>2.8966725174034602</v>
      </c>
      <c r="I32" s="297">
        <v>2.8966725174034602</v>
      </c>
    </row>
    <row r="33" spans="3:9" ht="15.6">
      <c r="C33" s="2"/>
      <c r="D33" s="295">
        <v>0.45</v>
      </c>
      <c r="E33" s="296">
        <v>2.4305220541277301</v>
      </c>
      <c r="F33" s="296">
        <v>2.4305220541277301</v>
      </c>
      <c r="G33" s="296">
        <v>2.4305220541277301</v>
      </c>
      <c r="H33" s="296">
        <v>2.4305220541277301</v>
      </c>
      <c r="I33" s="296">
        <v>2.4305220541277301</v>
      </c>
    </row>
    <row r="34" spans="3:9" ht="15.6">
      <c r="C34" s="2"/>
      <c r="D34" s="295">
        <v>0.5</v>
      </c>
      <c r="E34" s="296">
        <v>2.0515555555555598</v>
      </c>
      <c r="F34" s="296">
        <v>2.0515555555555598</v>
      </c>
      <c r="G34" s="297">
        <v>2.0515555555555598</v>
      </c>
      <c r="H34" s="296">
        <v>2.0515555555555598</v>
      </c>
      <c r="I34" s="296">
        <v>2.0515555555555598</v>
      </c>
    </row>
    <row r="35" spans="3:9" ht="15.6">
      <c r="C35" s="2"/>
      <c r="D35" s="295">
        <v>0.55000000000000004</v>
      </c>
      <c r="E35" s="296">
        <v>1.7413300170864301</v>
      </c>
      <c r="F35" s="296">
        <v>1.7413300170864301</v>
      </c>
      <c r="G35" s="296">
        <v>1.7413300170864301</v>
      </c>
      <c r="H35" s="296">
        <v>1.7413300170864301</v>
      </c>
      <c r="I35" s="296">
        <v>1.7413300170864301</v>
      </c>
    </row>
    <row r="36" spans="3:9" ht="15.6">
      <c r="C36" s="2"/>
      <c r="D36" s="295">
        <v>0.6</v>
      </c>
      <c r="E36" s="297">
        <v>1.4857292175293</v>
      </c>
      <c r="F36" s="296">
        <v>1.4857292175293</v>
      </c>
      <c r="G36" s="296">
        <v>1.4857292175293</v>
      </c>
      <c r="H36" s="296">
        <v>1.4857292175293</v>
      </c>
      <c r="I36" s="296">
        <v>1.4857292175293</v>
      </c>
    </row>
    <row r="37" spans="3:9" ht="15.6">
      <c r="C37" s="298"/>
      <c r="D37" s="299"/>
      <c r="E37" s="300"/>
      <c r="F37" s="300"/>
      <c r="G37" s="300"/>
      <c r="H37" s="300"/>
      <c r="I37" s="300"/>
    </row>
    <row r="38" spans="3:9" ht="15.6">
      <c r="C38" s="2" t="s">
        <v>230</v>
      </c>
      <c r="D38" s="301">
        <f>D32</f>
        <v>0.4</v>
      </c>
      <c r="E38" s="302">
        <f t="shared" ref="E38:I42" si="0">E32-$E$29</f>
        <v>2.8966725174034602</v>
      </c>
      <c r="F38" s="302">
        <f t="shared" si="0"/>
        <v>2.8966725174034602</v>
      </c>
      <c r="G38" s="302">
        <f t="shared" si="0"/>
        <v>2.8966725174034602</v>
      </c>
      <c r="H38" s="302">
        <f t="shared" si="0"/>
        <v>2.8966725174034602</v>
      </c>
      <c r="I38" s="302">
        <f t="shared" si="0"/>
        <v>2.8966725174034602</v>
      </c>
    </row>
    <row r="39" spans="3:9" ht="15.6">
      <c r="C39" s="2"/>
      <c r="D39" s="301">
        <f>D33</f>
        <v>0.45</v>
      </c>
      <c r="E39" s="302">
        <f t="shared" si="0"/>
        <v>2.4305220541277301</v>
      </c>
      <c r="F39" s="302">
        <f t="shared" si="0"/>
        <v>2.4305220541277301</v>
      </c>
      <c r="G39" s="302">
        <f t="shared" si="0"/>
        <v>2.4305220541277301</v>
      </c>
      <c r="H39" s="302">
        <f t="shared" si="0"/>
        <v>2.4305220541277301</v>
      </c>
      <c r="I39" s="302">
        <f t="shared" si="0"/>
        <v>2.4305220541277301</v>
      </c>
    </row>
    <row r="40" spans="3:9" ht="15.6">
      <c r="C40" s="2"/>
      <c r="D40" s="301">
        <f>D34</f>
        <v>0.5</v>
      </c>
      <c r="E40" s="302">
        <f t="shared" si="0"/>
        <v>2.0515555555555598</v>
      </c>
      <c r="F40" s="302">
        <f t="shared" si="0"/>
        <v>2.0515555555555598</v>
      </c>
      <c r="G40" s="302">
        <f t="shared" si="0"/>
        <v>2.0515555555555598</v>
      </c>
      <c r="H40" s="302">
        <f t="shared" si="0"/>
        <v>2.0515555555555598</v>
      </c>
      <c r="I40" s="302">
        <f t="shared" si="0"/>
        <v>2.0515555555555598</v>
      </c>
    </row>
    <row r="41" spans="3:9" ht="15.6">
      <c r="C41" s="2"/>
      <c r="D41" s="301">
        <f>D35</f>
        <v>0.55000000000000004</v>
      </c>
      <c r="E41" s="302">
        <f t="shared" si="0"/>
        <v>1.7413300170864301</v>
      </c>
      <c r="F41" s="302">
        <f>F35-$E$29</f>
        <v>1.7413300170864301</v>
      </c>
      <c r="G41" s="302">
        <f t="shared" si="0"/>
        <v>1.7413300170864301</v>
      </c>
      <c r="H41" s="302">
        <f t="shared" si="0"/>
        <v>1.7413300170864301</v>
      </c>
      <c r="I41" s="302">
        <f t="shared" si="0"/>
        <v>1.7413300170864301</v>
      </c>
    </row>
    <row r="42" spans="3:9" ht="15.6">
      <c r="C42" s="2"/>
      <c r="D42" s="301">
        <f>D36</f>
        <v>0.6</v>
      </c>
      <c r="E42" s="302">
        <f t="shared" si="0"/>
        <v>1.4857292175293</v>
      </c>
      <c r="F42" s="302">
        <f t="shared" si="0"/>
        <v>1.4857292175293</v>
      </c>
      <c r="G42" s="302">
        <f t="shared" si="0"/>
        <v>1.4857292175293</v>
      </c>
      <c r="H42" s="302">
        <f t="shared" si="0"/>
        <v>1.4857292175293</v>
      </c>
      <c r="I42" s="302">
        <f t="shared" si="0"/>
        <v>1.4857292175293</v>
      </c>
    </row>
    <row r="43" spans="3:9" ht="15.6">
      <c r="C43" s="303"/>
      <c r="D43" s="299"/>
      <c r="E43" s="300"/>
      <c r="F43" s="300"/>
      <c r="G43" s="300"/>
      <c r="H43" s="300"/>
      <c r="I43" s="300"/>
    </row>
    <row r="44" spans="3:9" ht="15.6">
      <c r="C44" s="2" t="s">
        <v>234</v>
      </c>
      <c r="D44" s="301">
        <f>D32</f>
        <v>0.4</v>
      </c>
      <c r="E44" s="304">
        <f t="shared" ref="E44:I48" si="1">$D$22/E32</f>
        <v>7.3516533905215925E-2</v>
      </c>
      <c r="F44" s="304">
        <f t="shared" si="1"/>
        <v>7.3516533905215925E-2</v>
      </c>
      <c r="G44" s="304">
        <f t="shared" si="1"/>
        <v>7.3516533905215925E-2</v>
      </c>
      <c r="H44" s="304">
        <f t="shared" si="1"/>
        <v>7.3516533905215925E-2</v>
      </c>
      <c r="I44" s="305">
        <f t="shared" si="1"/>
        <v>7.3516533905215925E-2</v>
      </c>
    </row>
    <row r="45" spans="3:9" ht="15.6">
      <c r="C45" s="2"/>
      <c r="D45" s="301">
        <f>D33</f>
        <v>0.45</v>
      </c>
      <c r="E45" s="304">
        <f t="shared" si="1"/>
        <v>8.7616289256187682E-2</v>
      </c>
      <c r="F45" s="304">
        <f t="shared" si="1"/>
        <v>8.7616289256187682E-2</v>
      </c>
      <c r="G45" s="304">
        <f t="shared" si="1"/>
        <v>8.7616289256187682E-2</v>
      </c>
      <c r="H45" s="304">
        <f t="shared" si="1"/>
        <v>8.7616289256187682E-2</v>
      </c>
      <c r="I45" s="304">
        <f t="shared" si="1"/>
        <v>8.7616289256187682E-2</v>
      </c>
    </row>
    <row r="46" spans="3:9" ht="15.6">
      <c r="C46" s="2"/>
      <c r="D46" s="301">
        <f>D34</f>
        <v>0.5</v>
      </c>
      <c r="E46" s="304">
        <f t="shared" si="1"/>
        <v>0.10380090500660659</v>
      </c>
      <c r="F46" s="304">
        <f t="shared" si="1"/>
        <v>0.10380090500660659</v>
      </c>
      <c r="G46" s="305">
        <f t="shared" si="1"/>
        <v>0.10380090500660659</v>
      </c>
      <c r="H46" s="304">
        <f t="shared" si="1"/>
        <v>0.10380090500660659</v>
      </c>
      <c r="I46" s="304">
        <f t="shared" si="1"/>
        <v>0.10380090500660659</v>
      </c>
    </row>
    <row r="47" spans="3:9" ht="15.6">
      <c r="C47" s="2"/>
      <c r="D47" s="301">
        <f>D35</f>
        <v>0.55000000000000004</v>
      </c>
      <c r="E47" s="304">
        <f t="shared" si="1"/>
        <v>0.12229348902760505</v>
      </c>
      <c r="F47" s="304">
        <f t="shared" si="1"/>
        <v>0.12229348902760505</v>
      </c>
      <c r="G47" s="304">
        <f t="shared" si="1"/>
        <v>0.12229348902760505</v>
      </c>
      <c r="H47" s="304">
        <f t="shared" si="1"/>
        <v>0.12229348902760505</v>
      </c>
      <c r="I47" s="304">
        <f t="shared" si="1"/>
        <v>0.12229348902760505</v>
      </c>
    </row>
    <row r="48" spans="3:9" ht="15.6">
      <c r="C48" s="2"/>
      <c r="D48" s="301">
        <f>D36</f>
        <v>0.6</v>
      </c>
      <c r="E48" s="305">
        <f t="shared" si="1"/>
        <v>0.14333252710216626</v>
      </c>
      <c r="F48" s="304">
        <f t="shared" si="1"/>
        <v>0.14333252710216626</v>
      </c>
      <c r="G48" s="304">
        <f t="shared" si="1"/>
        <v>0.14333252710216626</v>
      </c>
      <c r="H48" s="304">
        <f t="shared" si="1"/>
        <v>0.14333252710216626</v>
      </c>
      <c r="I48" s="304">
        <f t="shared" si="1"/>
        <v>0.14333252710216626</v>
      </c>
    </row>
  </sheetData>
  <mergeCells count="5">
    <mergeCell ref="C44:C48"/>
    <mergeCell ref="C27:I28"/>
    <mergeCell ref="E30:I30"/>
    <mergeCell ref="C32:C36"/>
    <mergeCell ref="C38:C4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opLeftCell="A10" zoomScaleNormal="100" workbookViewId="0">
      <selection activeCell="A14" sqref="A14"/>
    </sheetView>
  </sheetViews>
  <sheetFormatPr defaultColWidth="11" defaultRowHeight="15"/>
  <sheetData>
    <row r="1" spans="1:1" ht="18" customHeight="1">
      <c r="A1" s="306" t="s">
        <v>235</v>
      </c>
    </row>
    <row r="3" spans="1:1">
      <c r="A3" t="s">
        <v>236</v>
      </c>
    </row>
    <row r="5" spans="1:1" ht="15.6">
      <c r="A5" s="307" t="s">
        <v>40</v>
      </c>
    </row>
    <row r="7" spans="1:1">
      <c r="A7" t="s">
        <v>237</v>
      </c>
    </row>
    <row r="8" spans="1:1">
      <c r="A8" t="s">
        <v>238</v>
      </c>
    </row>
    <row r="9" spans="1:1">
      <c r="A9" t="s">
        <v>239</v>
      </c>
    </row>
    <row r="10" spans="1:1">
      <c r="A10" t="s">
        <v>240</v>
      </c>
    </row>
    <row r="12" spans="1:1" ht="15.6">
      <c r="A12" s="307" t="s">
        <v>42</v>
      </c>
    </row>
    <row r="14" spans="1:1">
      <c r="A14" t="s">
        <v>241</v>
      </c>
    </row>
    <row r="15" spans="1:1">
      <c r="A15" t="s">
        <v>242</v>
      </c>
    </row>
    <row r="16" spans="1:1">
      <c r="A16" t="s">
        <v>243</v>
      </c>
    </row>
    <row r="17" spans="1:1">
      <c r="A17" t="s">
        <v>244</v>
      </c>
    </row>
    <row r="19" spans="1:1" ht="15.6">
      <c r="A19" s="307" t="s">
        <v>245</v>
      </c>
    </row>
    <row r="21" spans="1:1">
      <c r="A21" t="s">
        <v>246</v>
      </c>
    </row>
    <row r="22" spans="1:1">
      <c r="A22" t="s">
        <v>247</v>
      </c>
    </row>
    <row r="24" spans="1:1" ht="15.6">
      <c r="A24" s="307" t="s">
        <v>248</v>
      </c>
    </row>
    <row r="26" spans="1:1">
      <c r="A26" t="s">
        <v>249</v>
      </c>
    </row>
    <row r="27" spans="1:1">
      <c r="A27" t="s">
        <v>250</v>
      </c>
    </row>
    <row r="29" spans="1:1" ht="15.6">
      <c r="A29" s="307" t="s">
        <v>251</v>
      </c>
    </row>
    <row r="31" spans="1:1">
      <c r="A31" t="s">
        <v>252</v>
      </c>
    </row>
    <row r="32" spans="1:1">
      <c r="A32" t="s">
        <v>253</v>
      </c>
    </row>
    <row r="34" spans="1:1" ht="15.6">
      <c r="A34" s="307" t="s">
        <v>254</v>
      </c>
    </row>
    <row r="36" spans="1:1">
      <c r="A36" t="s">
        <v>255</v>
      </c>
    </row>
    <row r="37" spans="1:1">
      <c r="A37" t="s">
        <v>256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Normal="100" workbookViewId="0">
      <selection activeCell="A20" sqref="A20"/>
    </sheetView>
  </sheetViews>
  <sheetFormatPr defaultColWidth="11" defaultRowHeight="15"/>
  <cols>
    <col min="1" max="1" width="46.81640625" customWidth="1"/>
    <col min="2" max="2" width="54.7265625" customWidth="1"/>
  </cols>
  <sheetData>
    <row r="1" spans="1:3" ht="23.25" customHeight="1">
      <c r="A1" s="308" t="s">
        <v>257</v>
      </c>
    </row>
    <row r="3" spans="1:3" ht="15.6">
      <c r="A3" s="307" t="s">
        <v>258</v>
      </c>
      <c r="B3" s="307" t="s">
        <v>259</v>
      </c>
      <c r="C3" s="307" t="s">
        <v>260</v>
      </c>
    </row>
    <row r="4" spans="1:3" ht="15.6">
      <c r="A4" s="307" t="s">
        <v>261</v>
      </c>
      <c r="B4" s="26" t="s">
        <v>262</v>
      </c>
      <c r="C4" s="26" t="s">
        <v>263</v>
      </c>
    </row>
    <row r="5" spans="1:3" ht="15.6">
      <c r="A5" s="307" t="s">
        <v>264</v>
      </c>
      <c r="B5" s="26" t="s">
        <v>265</v>
      </c>
      <c r="C5" s="26" t="s">
        <v>266</v>
      </c>
    </row>
    <row r="6" spans="1:3" ht="15.6">
      <c r="A6" s="307" t="s">
        <v>267</v>
      </c>
      <c r="B6" s="26" t="s">
        <v>268</v>
      </c>
      <c r="C6" s="26" t="s">
        <v>269</v>
      </c>
    </row>
    <row r="7" spans="1:3" ht="15.6">
      <c r="A7" s="307" t="s">
        <v>270</v>
      </c>
      <c r="B7" s="26" t="s">
        <v>271</v>
      </c>
      <c r="C7" s="26" t="s">
        <v>272</v>
      </c>
    </row>
    <row r="8" spans="1:3" ht="15.6">
      <c r="A8" s="307" t="s">
        <v>273</v>
      </c>
      <c r="B8" s="26" t="s">
        <v>274</v>
      </c>
      <c r="C8" s="26" t="s">
        <v>269</v>
      </c>
    </row>
    <row r="9" spans="1:3" ht="15.6">
      <c r="A9" s="307" t="s">
        <v>275</v>
      </c>
      <c r="B9" s="26" t="s">
        <v>276</v>
      </c>
      <c r="C9" s="26" t="s">
        <v>277</v>
      </c>
    </row>
    <row r="10" spans="1:3" ht="15.6">
      <c r="A10" s="307" t="s">
        <v>278</v>
      </c>
      <c r="B10" s="26" t="s">
        <v>279</v>
      </c>
      <c r="C10" s="26" t="s">
        <v>263</v>
      </c>
    </row>
    <row r="11" spans="1:3" ht="15.6">
      <c r="A11" s="307" t="s">
        <v>280</v>
      </c>
      <c r="B11" s="26" t="s">
        <v>281</v>
      </c>
      <c r="C11" s="26" t="s">
        <v>263</v>
      </c>
    </row>
    <row r="12" spans="1:3" ht="15.6">
      <c r="A12" s="307" t="s">
        <v>282</v>
      </c>
      <c r="B12" s="26" t="s">
        <v>283</v>
      </c>
      <c r="C12" s="26" t="s">
        <v>269</v>
      </c>
    </row>
    <row r="13" spans="1:3" ht="15.6">
      <c r="A13" s="307" t="s">
        <v>284</v>
      </c>
      <c r="B13" s="26" t="s">
        <v>285</v>
      </c>
      <c r="C13" s="26" t="s">
        <v>263</v>
      </c>
    </row>
    <row r="16" spans="1:3" ht="15.6">
      <c r="A16" s="307" t="s">
        <v>286</v>
      </c>
    </row>
    <row r="17" spans="1:1">
      <c r="A17" t="s">
        <v>287</v>
      </c>
    </row>
    <row r="18" spans="1:1">
      <c r="A18" t="s">
        <v>288</v>
      </c>
    </row>
    <row r="19" spans="1:1">
      <c r="A19" t="s">
        <v>289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Introduction</vt:lpstr>
      <vt:lpstr>Assumptions</vt:lpstr>
      <vt:lpstr>Revenue Buildup</vt:lpstr>
      <vt:lpstr>Cost Buildup</vt:lpstr>
      <vt:lpstr>FAS</vt:lpstr>
      <vt:lpstr>IS</vt:lpstr>
      <vt:lpstr>BS</vt:lpstr>
      <vt:lpstr>CFS</vt:lpstr>
      <vt:lpstr>Valuation</vt:lpstr>
      <vt:lpstr>Sheet10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Rai</dc:creator>
  <dc:description/>
  <cp:lastModifiedBy>Dhananjay Anil Raut</cp:lastModifiedBy>
  <cp:revision>0</cp:revision>
  <dcterms:created xsi:type="dcterms:W3CDTF">2025-03-10T12:17:31Z</dcterms:created>
  <dcterms:modified xsi:type="dcterms:W3CDTF">2026-07-13T18:00:27Z</dcterms:modified>
  <dc:language>en-US</dc:language>
</cp:coreProperties>
</file>